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c rul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1"/>
    </font>
    <font>
      <name val="Arial"/>
      <sz val="10"/>
    </font>
    <font>
      <name val="Arial"/>
      <b val="1"/>
      <color rgb="002E7D32"/>
      <sz val="10"/>
    </font>
    <font>
      <name val="Arial"/>
      <b val="1"/>
      <color rgb="00E65100"/>
      <sz val="10"/>
    </font>
    <font>
      <name val="Arial"/>
      <b val="1"/>
      <color rgb="00231F20"/>
      <sz val="10"/>
    </font>
    <font>
      <name val="Arial"/>
      <color rgb="001976D2"/>
      <sz val="10"/>
      <u val="single"/>
    </font>
    <font>
      <name val="Arial"/>
      <b val="1"/>
      <color rgb="00C62828"/>
      <sz val="10"/>
    </font>
    <font>
      <name val="Arial"/>
      <b val="1"/>
      <sz val="14"/>
    </font>
    <font>
      <name val="Arial"/>
      <b val="1"/>
      <color rgb="002E7D32"/>
    </font>
    <font>
      <name val="Arial"/>
      <b val="1"/>
      <color rgb="00E65100"/>
    </font>
    <font>
      <name val="Arial"/>
      <b val="1"/>
      <color rgb="00C62828"/>
    </font>
    <font>
      <name val="Arial"/>
      <b val="1"/>
      <sz val="12"/>
    </font>
    <font>
      <name val="Arial"/>
      <b val="1"/>
    </font>
  </fonts>
  <fills count="9">
    <fill>
      <patternFill/>
    </fill>
    <fill>
      <patternFill patternType="gray125"/>
    </fill>
    <fill>
      <patternFill patternType="solid">
        <fgColor rgb="00231F20"/>
      </patternFill>
    </fill>
    <fill>
      <patternFill patternType="solid">
        <fgColor rgb="00C8E6C9"/>
      </patternFill>
    </fill>
    <fill>
      <patternFill patternType="solid">
        <fgColor rgb="00FFE0B2"/>
      </patternFill>
    </fill>
    <fill>
      <patternFill patternType="solid">
        <fgColor rgb="00FFF3CD"/>
      </patternFill>
    </fill>
    <fill>
      <patternFill patternType="solid">
        <fgColor rgb="00E1F5FE"/>
      </patternFill>
    </fill>
    <fill>
      <patternFill patternType="solid">
        <fgColor rgb="00FFCDD2"/>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2" fillId="6"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7" fillId="7" borderId="1" applyAlignment="1" pivotButton="0" quotePrefix="0" xfId="0">
      <alignment horizontal="center" vertical="center"/>
    </xf>
    <xf numFmtId="0" fontId="2" fillId="8" borderId="1"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6" customWidth="1" min="3" max="3"/>
    <col width="11" customWidth="1" min="4" max="4"/>
    <col width="32" customWidth="1" min="5" max="5"/>
    <col width="42" customWidth="1" min="6" max="6"/>
    <col width="10" customWidth="1" min="7" max="7"/>
    <col width="55" customWidth="1" min="8" max="8"/>
    <col width="60" customWidth="1" min="9" max="9"/>
    <col width="22" customWidth="1" min="10" max="10"/>
    <col width="50" customWidth="1" min="11" max="11"/>
    <col width="18" customWidth="1" min="12" max="12"/>
    <col width="22" customWidth="1" min="13" max="13"/>
    <col width="65" customWidth="1" min="14" max="14"/>
    <col width="50" customWidth="1" min="15" max="15"/>
    <col width="22" customWidth="1" min="16" max="16"/>
    <col width="30" customWidth="1" min="17" max="17"/>
    <col width="30" customWidth="1" min="18" max="18"/>
    <col width="30" customWidth="1" min="19" max="19"/>
    <col width="30" customWidth="1" min="20" max="20"/>
  </cols>
  <sheetData>
    <row r="1" ht="50" customHeight="1">
      <c r="A1" s="1" t="inlineStr">
        <is>
          <t>#</t>
        </is>
      </c>
      <c r="B1" s="1" t="inlineStr">
        <is>
          <t>Section</t>
        </is>
      </c>
      <c r="C1" s="1" t="inlineStr">
        <is>
          <t>Stick role</t>
        </is>
      </c>
      <c r="D1" s="1" t="inlineStr">
        <is>
          <t>Profile</t>
        </is>
      </c>
      <c r="E1" s="1" t="inlineStr">
        <is>
          <t>When (gate / condition)</t>
        </is>
      </c>
      <c r="F1" s="1" t="inlineStr">
        <is>
          <t>What we emit (plain English)</t>
        </is>
      </c>
      <c r="G1" s="1" t="inlineStr">
        <is>
          <t>Status</t>
        </is>
      </c>
      <c r="H1" s="1" t="inlineStr">
        <is>
          <t>Source / what to implement</t>
        </is>
      </c>
      <c r="I1" s="1" t="inlineStr">
        <is>
          <t>Empirical pattern (mined from 388-pair corpus)</t>
        </is>
      </c>
      <c r="J1" s="1" t="inlineStr">
        <is>
          <t>Look up in Detailer (job / plan / frame / stick)</t>
        </is>
      </c>
      <c r="K1" s="1" t="inlineStr">
        <is>
          <t>Specific question</t>
        </is>
      </c>
      <c r="L1" s="1" t="inlineStr">
        <is>
          <t>Affected (sticks / pairs in 388-pair corpus)</t>
        </is>
      </c>
      <c r="M1" s="1" t="inlineStr">
        <is>
          <t>Unlocks if fixed</t>
        </is>
      </c>
      <c r="N1" s="1" t="inlineStr">
        <is>
          <t>My uncertainty (long-form)</t>
        </is>
      </c>
      <c r="O1" s="1" t="inlineStr">
        <is>
          <t>Scott's correction</t>
        </is>
      </c>
      <c r="P1" s="1" t="inlineStr">
        <is>
          <t>Diff PDF (codec vs Detailer)</t>
        </is>
      </c>
      <c r="Q1" s="1" t="inlineStr">
        <is>
          <t>Manufacturing PDF (frame elevations)</t>
        </is>
      </c>
      <c r="R1" s="1" t="inlineStr">
        <is>
          <t>Architectural PDF (project context)</t>
        </is>
      </c>
      <c r="S1" s="1" t="inlineStr">
        <is>
          <t>.fcp file (open in Detailer)</t>
        </is>
      </c>
      <c r="T1" s="1" t="inlineStr">
        <is>
          <t>Source XML</t>
        </is>
      </c>
    </row>
    <row r="2" ht="22" customHeight="1">
      <c r="A2" s="2" t="n">
        <v>1</v>
      </c>
      <c r="B2" s="2" t="inlineStr">
        <is>
          <t>A</t>
        </is>
      </c>
      <c r="C2" s="2" t="inlineStr">
        <is>
          <t>Wall studs (S, J)</t>
        </is>
      </c>
      <c r="D2" s="2" t="inlineStr">
        <is>
          <t>70mm</t>
        </is>
      </c>
      <c r="E2" s="2" t="inlineStr">
        <is>
          <t>Always</t>
        </is>
      </c>
      <c r="F2" s="2" t="inlineStr">
        <is>
          <t>Start Swage 0..39mm (39mm cap from start)</t>
        </is>
      </c>
      <c r="G2" s="3" t="inlineStr">
        <is>
          <t>Yes</t>
        </is>
      </c>
      <c r="H2" s="2" t="inlineStr"/>
      <c r="I2" s="2" t="inlineStr"/>
      <c r="J2" s="2" t="inlineStr"/>
      <c r="K2" s="2" t="inlineStr"/>
      <c r="L2" s="2" t="inlineStr">
        <is>
          <t>—</t>
        </is>
      </c>
      <c r="M2" s="2" t="inlineStr">
        <is>
          <t>—</t>
        </is>
      </c>
      <c r="N2" s="2" t="inlineStr"/>
      <c r="O2" s="2" t="inlineStr"/>
      <c r="P2" s="2" t="inlineStr"/>
      <c r="Q2" s="2" t="inlineStr"/>
      <c r="R2" s="2" t="inlineStr"/>
      <c r="S2" s="2" t="inlineStr"/>
      <c r="T2" s="2" t="inlineStr"/>
    </row>
    <row r="3" ht="22" customHeight="1">
      <c r="A3" s="2" t="n">
        <v>2</v>
      </c>
      <c r="B3" s="2" t="inlineStr">
        <is>
          <t>A</t>
        </is>
      </c>
      <c r="C3" s="2" t="inlineStr">
        <is>
          <t>Wall studs (S, J)</t>
        </is>
      </c>
      <c r="D3" s="2" t="inlineStr">
        <is>
          <t>70mm</t>
        </is>
      </c>
      <c r="E3" s="2" t="inlineStr">
        <is>
          <t>Always</t>
        </is>
      </c>
      <c r="F3" s="2" t="inlineStr">
        <is>
          <t>Start InnerDimple at 16.5mm from start</t>
        </is>
      </c>
      <c r="G3" s="3" t="inlineStr">
        <is>
          <t>Yes</t>
        </is>
      </c>
      <c r="H3" s="2" t="inlineStr"/>
      <c r="I3" s="2" t="inlineStr"/>
      <c r="J3" s="2" t="inlineStr"/>
      <c r="K3" s="2" t="inlineStr"/>
      <c r="L3" s="2" t="inlineStr">
        <is>
          <t>—</t>
        </is>
      </c>
      <c r="M3" s="2" t="inlineStr">
        <is>
          <t>—</t>
        </is>
      </c>
      <c r="N3" s="2" t="inlineStr"/>
      <c r="O3" s="2" t="inlineStr"/>
      <c r="P3" s="2" t="inlineStr"/>
      <c r="Q3" s="2" t="inlineStr"/>
      <c r="R3" s="2" t="inlineStr"/>
      <c r="S3" s="2" t="inlineStr"/>
      <c r="T3" s="2" t="inlineStr"/>
    </row>
    <row r="4" ht="22" customHeight="1">
      <c r="A4" s="2" t="n">
        <v>3</v>
      </c>
      <c r="B4" s="2" t="inlineStr">
        <is>
          <t>A</t>
        </is>
      </c>
      <c r="C4" s="2" t="inlineStr">
        <is>
          <t>Wall studs (S, J)</t>
        </is>
      </c>
      <c r="D4" s="2" t="inlineStr">
        <is>
          <t>70mm</t>
        </is>
      </c>
      <c r="E4" s="2" t="inlineStr">
        <is>
          <t>Always</t>
        </is>
      </c>
      <c r="F4" s="2" t="inlineStr">
        <is>
          <t>End Swage [length-39 .. length]</t>
        </is>
      </c>
      <c r="G4" s="3" t="inlineStr">
        <is>
          <t>Yes</t>
        </is>
      </c>
      <c r="H4" s="2" t="inlineStr"/>
      <c r="I4" s="2" t="inlineStr"/>
      <c r="J4" s="2" t="inlineStr"/>
      <c r="K4" s="2" t="inlineStr"/>
      <c r="L4" s="2" t="inlineStr">
        <is>
          <t>—</t>
        </is>
      </c>
      <c r="M4" s="2" t="inlineStr">
        <is>
          <t>—</t>
        </is>
      </c>
      <c r="N4" s="2" t="inlineStr"/>
      <c r="O4" s="2" t="inlineStr"/>
      <c r="P4" s="2" t="inlineStr"/>
      <c r="Q4" s="2" t="inlineStr"/>
      <c r="R4" s="2" t="inlineStr"/>
      <c r="S4" s="2" t="inlineStr"/>
      <c r="T4" s="2" t="inlineStr"/>
    </row>
    <row r="5" ht="22" customHeight="1">
      <c r="A5" s="2" t="n">
        <v>4</v>
      </c>
      <c r="B5" s="2" t="inlineStr">
        <is>
          <t>A</t>
        </is>
      </c>
      <c r="C5" s="2" t="inlineStr">
        <is>
          <t>Wall studs (S, J)</t>
        </is>
      </c>
      <c r="D5" s="2" t="inlineStr">
        <is>
          <t>70mm</t>
        </is>
      </c>
      <c r="E5" s="2" t="inlineStr">
        <is>
          <t>Always</t>
        </is>
      </c>
      <c r="F5" s="2" t="inlineStr">
        <is>
          <t>End InnerDimple at length-16.5</t>
        </is>
      </c>
      <c r="G5" s="3" t="inlineStr">
        <is>
          <t>Yes</t>
        </is>
      </c>
      <c r="H5" s="2" t="inlineStr"/>
      <c r="I5" s="2" t="inlineStr"/>
      <c r="J5" s="2" t="inlineStr"/>
      <c r="K5" s="2" t="inlineStr"/>
      <c r="L5" s="2" t="inlineStr">
        <is>
          <t>—</t>
        </is>
      </c>
      <c r="M5" s="2" t="inlineStr">
        <is>
          <t>—</t>
        </is>
      </c>
      <c r="N5" s="2" t="inlineStr"/>
      <c r="O5" s="2" t="inlineStr"/>
      <c r="P5" s="2" t="inlineStr"/>
      <c r="Q5" s="2" t="inlineStr"/>
      <c r="R5" s="2" t="inlineStr"/>
      <c r="S5" s="2" t="inlineStr"/>
      <c r="T5" s="2" t="inlineStr"/>
    </row>
    <row r="6" ht="260" customHeight="1">
      <c r="A6" s="2" t="n">
        <v>5</v>
      </c>
      <c r="B6" s="2" t="inlineStr">
        <is>
          <t>A</t>
        </is>
      </c>
      <c r="C6" s="2" t="inlineStr">
        <is>
          <t>Wall studs (S, J)</t>
        </is>
      </c>
      <c r="D6" s="2" t="inlineStr">
        <is>
          <t>70/89mm</t>
        </is>
      </c>
      <c r="E6" s="2" t="inlineStr">
        <is>
          <t>Wall plan AND length&gt;=500</t>
        </is>
      </c>
      <c r="F6" s="2" t="inlineStr">
        <is>
          <t>Service hole at 296mm from start (outlet height)</t>
        </is>
      </c>
      <c r="G6" s="4" t="inlineStr">
        <is>
          <t>Spec'd</t>
        </is>
      </c>
      <c r="H6" s="2" t="inlineStr">
        <is>
          <t>Detailer User Manual p.97 (Service Hole Heights) + p.107 (Place Service Hole Route) + docs/service-z-line-design.md
PER-FRAME setting in Detailer. 'Service Hole (Heights)' — heights are per-frame (296/446 in HYTEK practice). 'Place Service Hole Route' — operator draws a line through frame; service hole emitted wherever line crosses a stud. Read &lt;tool_action name=Service&gt; elements per frame from XML. For each horizontal z-line, project onto each stud. Emit InnerService at local_pos = z_line - z_stud_start - 2mm.</t>
        </is>
      </c>
      <c r="I6" s="5" t="inlineStr">
        <is>
          <t>MINED FROM 19,070 STICKS — overall 81.4% match
"Wall stud (&gt;=500mm) gets ANY InnerService — selectivity check"
By plan_type:
  LBW                               9056/11213 =  80.8%
  NLBW                              6470/7857  =  82.3%
By (plan_type, gauge):
  NLBW/0.75                         6438/7786  =  82.7%
  LBW/0.75                          6118/7442  =  82.2%
  LBW/0.95                          2780/3509  =  79.2%
  LBW/1.15                           158/262   =  60.3%
  NLBW/0.95                           32/71    =  45.1%</t>
        </is>
      </c>
      <c r="J6" s="6" t="inlineStr">
        <is>
          <t>HG260001
GF-LBW-70.075
frame L4
stick S11</t>
        </is>
      </c>
      <c r="K6" s="2" t="inlineStr">
        <is>
          <t>(see Source col)</t>
        </is>
      </c>
      <c r="L6" s="2" t="inlineStr">
        <is>
          <t>19,106 sticks / 169 pairs</t>
        </is>
      </c>
      <c r="M6" s="2" t="inlineStr">
        <is>
          <t>moderate (over-emit on most jobs)</t>
        </is>
      </c>
      <c r="N6" s="2" t="inlineStr"/>
      <c r="O6" s="2" t="inlineStr"/>
      <c r="P6" s="7">
        <f>HYPERLINK("file:///C:/Users/Scott/CLAUDE CODE/hytek-rfy-codec/docs/rule-pdfs/rule-05.pdf","rule-05.pdf")</f>
        <v/>
      </c>
      <c r="Q6" s="7">
        <f>HYPERLINK("file:///Y:/(17) 2026 HYTEK PROJECTS/CORAL HOMES/HG260001 LOT 289 (29) COORA CRESENT CURRIMUNDI/06 MANUFACTURING/02 DRAWINGS MANUFACTURING/01 LGS/HG260001 LOT 289 COORA CRESCENT CURRIMUNDI 4551-GF-LBW-70.075.pdf","HG260001 LOT 289 COORA CRESCENT CURRIMUNDI 4551-GF")</f>
        <v/>
      </c>
      <c r="R6" s="7">
        <f>HYPERLINK("file:///Y:/(17) 2026 HYTEK PROJECTS/CORAL HOMES/HG260001 LOT 289 (29) COORA CRESENT CURRIMUNDI/01 PROJECT DOCUMENTATION/02 CURRENT DOCS/01 PDF/AC LAYOUT.pdf","AC LAYOUT.pdf")</f>
        <v/>
      </c>
      <c r="S6" s="7">
        <f>HYPERLINK("file:///Y:/(17) 2026 HYTEK PROJECTS/CORAL HOMES/HG260001 LOT 289 (29) COORA CRESENT CURRIMUNDI/03 DETAILING/03 FRAMECAD DETAILER/HG260001 LOT 289 (29) COORA CRESENT CURRIMUNDI.fcp","HG260001 LOT 289 (29) COORA CRESENT CURRIMUNDI.fcp")</f>
        <v/>
      </c>
      <c r="T6" s="7">
        <f>HYPERLINK("file:///Y:/(17) 2026 HYTEK PROJECTS/CORAL HOMES/HG260001 LOT 289 (29) COORA CRESENT CURRIMUNDI/03 DETAILING/03 FRAMECAD DETAILER/01 XML OUTPUT/HG260001 LOT 289 COORA CRESCENT CURRIMUNDI 4551-GF-LBW-70.075.xml","HG260001 LOT 289 COORA CRESCENT CURRIMUNDI 4551-GF")</f>
        <v/>
      </c>
    </row>
    <row r="7" ht="224" customHeight="1">
      <c r="A7" s="2" t="n">
        <v>6</v>
      </c>
      <c r="B7" s="2" t="inlineStr">
        <is>
          <t>A</t>
        </is>
      </c>
      <c r="C7" s="2" t="inlineStr">
        <is>
          <t>Wall studs (S, J)</t>
        </is>
      </c>
      <c r="D7" s="2" t="inlineStr">
        <is>
          <t>70/89mm</t>
        </is>
      </c>
      <c r="E7" s="2" t="inlineStr">
        <is>
          <t>Wall plan AND length&gt;=500</t>
        </is>
      </c>
      <c r="F7" s="2" t="inlineStr">
        <is>
          <t>Service hole at 446mm from start (switch height)</t>
        </is>
      </c>
      <c r="G7" s="4" t="inlineStr">
        <is>
          <t>Spec'd</t>
        </is>
      </c>
      <c r="H7" s="2" t="inlineStr">
        <is>
          <t>Detailer User Manual p.97 + docs/service-z-line-design.md
Same per-frame z-line as rule 5 — when 2 service-hole heights are configured (typically 296+446), the route line crosses each stud at both heights.</t>
        </is>
      </c>
      <c r="I7" s="5" t="inlineStr">
        <is>
          <t>MINED FROM 19,070 STICKS — overall 81.4% match
"Wall stud (&gt;=500mm) gets ANY InnerService — selectivity check"
By plan_type:
  LBW                               9056/11213 =  80.8%
  NLBW                              6470/7857  =  82.3%
By (plan_type, gauge):
  NLBW/0.75                         6438/7786  =  82.7%
  LBW/0.75                          6118/7442  =  82.2%
  LBW/0.95                          2780/3509  =  79.2%
  LBW/1.15                           158/262   =  60.3%
  NLBW/0.95                           32/71    =  45.1%</t>
        </is>
      </c>
      <c r="J7" s="6" t="inlineStr">
        <is>
          <t>HG260001
GF-LBW-70.075
frame L4
stick S11</t>
        </is>
      </c>
      <c r="K7" s="2" t="inlineStr">
        <is>
          <t>(see Source col)</t>
        </is>
      </c>
      <c r="L7" s="2" t="inlineStr">
        <is>
          <t>19,106 sticks / 169 pairs</t>
        </is>
      </c>
      <c r="M7" s="2" t="inlineStr">
        <is>
          <t>moderate</t>
        </is>
      </c>
      <c r="N7" s="2" t="inlineStr"/>
      <c r="O7" s="2" t="inlineStr"/>
      <c r="P7" s="7">
        <f>HYPERLINK("file:///C:/Users/Scott/CLAUDE CODE/hytek-rfy-codec/docs/rule-pdfs/rule-06.pdf","rule-06.pdf")</f>
        <v/>
      </c>
      <c r="Q7" s="7">
        <f>HYPERLINK("file:///Y:/(17) 2026 HYTEK PROJECTS/CORAL HOMES/HG260001 LOT 289 (29) COORA CRESENT CURRIMUNDI/06 MANUFACTURING/02 DRAWINGS MANUFACTURING/01 LGS/HG260001 LOT 289 COORA CRESCENT CURRIMUNDI 4551-GF-LBW-70.075.pdf","HG260001 LOT 289 COORA CRESCENT CURRIMUNDI 4551-GF")</f>
        <v/>
      </c>
      <c r="R7" s="7">
        <f>HYPERLINK("file:///Y:/(17) 2026 HYTEK PROJECTS/CORAL HOMES/HG260001 LOT 289 (29) COORA CRESENT CURRIMUNDI/01 PROJECT DOCUMENTATION/02 CURRENT DOCS/01 PDF/AC LAYOUT.pdf","AC LAYOUT.pdf")</f>
        <v/>
      </c>
      <c r="S7" s="7">
        <f>HYPERLINK("file:///Y:/(17) 2026 HYTEK PROJECTS/CORAL HOMES/HG260001 LOT 289 (29) COORA CRESENT CURRIMUNDI/03 DETAILING/03 FRAMECAD DETAILER/HG260001 LOT 289 (29) COORA CRESENT CURRIMUNDI.fcp","HG260001 LOT 289 (29) COORA CRESENT CURRIMUNDI.fcp")</f>
        <v/>
      </c>
      <c r="T7" s="7">
        <f>HYPERLINK("file:///Y:/(17) 2026 HYTEK PROJECTS/CORAL HOMES/HG260001 LOT 289 (29) COORA CRESENT CURRIMUNDI/03 DETAILING/03 FRAMECAD DETAILER/01 XML OUTPUT/HG260001 LOT 289 COORA CRESCENT CURRIMUNDI 4551-GF-LBW-70.075.xml","HG260001 LOT 289 COORA CRESCENT CURRIMUNDI 4551-GF")</f>
        <v/>
      </c>
    </row>
    <row r="8" ht="238" customHeight="1">
      <c r="A8" s="2" t="n">
        <v>7</v>
      </c>
      <c r="B8" s="2" t="inlineStr">
        <is>
          <t>A</t>
        </is>
      </c>
      <c r="C8" s="2" t="inlineStr">
        <is>
          <t>Wall studs (S, J)</t>
        </is>
      </c>
      <c r="D8" s="2" t="inlineStr">
        <is>
          <t>70/89mm</t>
        </is>
      </c>
      <c r="E8" s="2" t="inlineStr">
        <is>
          <t>framecad-import.ts post-process</t>
        </is>
      </c>
      <c r="F8" s="2" t="inlineStr">
        <is>
          <t>Web access holes evenly distributed in body</t>
        </is>
      </c>
      <c r="G8" s="4" t="inlineStr">
        <is>
          <t>Spec'd</t>
        </is>
      </c>
      <c r="H8" s="2" t="inlineStr">
        <is>
          <t>Detailer User Manual: Bottom Plate Bolt Holes / Triple Web Hole Spacing settings
Web access holes are emitted by the per-frame 'Web Hole' tool action, NOT by a fixed-spacing rule. Likely tied to triple-web-hole spacing setting (Triple Web Hole Spacing field).</t>
        </is>
      </c>
      <c r="I8" s="5" t="inlineStr">
        <is>
          <t>MINED FROM 16,782 STICKS — overall 7.1% match
"Wall stud (&gt;=1.5m) has body Web hole(s) — count check"
By plan_type:
  LBW                               1184/9778  =  12.1%
  NLBW                                 3/7004  =   0.0%
By (plan_type, gauge):
  NLBW/0.75                            3/6949  =   0.0%
  LBW/0.75                           752/6532  =  11.5%
  LBW/0.95                           407/3044  =  13.4%
  LBW/1.15                            25/202   =  12.4%
  NLBW/0.95                            0/55    =   0.0%</t>
        </is>
      </c>
      <c r="J8" s="6" t="inlineStr">
        <is>
          <t>HG260001
GF-LBW-70.075
frame L4
stick S11</t>
        </is>
      </c>
      <c r="K8" s="2" t="inlineStr">
        <is>
          <t>(see Source col)</t>
        </is>
      </c>
      <c r="L8" s="2" t="inlineStr">
        <is>
          <t>27,042 sticks / 236 pairs</t>
        </is>
      </c>
      <c r="M8" s="2" t="inlineStr">
        <is>
          <t>small</t>
        </is>
      </c>
      <c r="N8" s="2" t="inlineStr"/>
      <c r="O8" s="2" t="inlineStr"/>
      <c r="P8" s="7">
        <f>HYPERLINK("file:///C:/Users/Scott/CLAUDE CODE/hytek-rfy-codec/docs/rule-pdfs/rule-07.pdf","rule-07.pdf")</f>
        <v/>
      </c>
      <c r="Q8" s="7">
        <f>HYPERLINK("file:///Y:/(17) 2026 HYTEK PROJECTS/CORAL HOMES/HG260001 LOT 289 (29) COORA CRESENT CURRIMUNDI/06 MANUFACTURING/02 DRAWINGS MANUFACTURING/01 LGS/HG260001 LOT 289 COORA CRESCENT CURRIMUNDI 4551-GF-LBW-70.075.pdf","HG260001 LOT 289 COORA CRESCENT CURRIMUNDI 4551-GF")</f>
        <v/>
      </c>
      <c r="R8" s="7">
        <f>HYPERLINK("file:///Y:/(17) 2026 HYTEK PROJECTS/CORAL HOMES/HG260001 LOT 289 (29) COORA CRESENT CURRIMUNDI/01 PROJECT DOCUMENTATION/02 CURRENT DOCS/01 PDF/CARPENTER LAYOUT.pdf","CARPENTER LAYOUT.pdf")</f>
        <v/>
      </c>
      <c r="S8" s="7">
        <f>HYPERLINK("file:///Y:/(17) 2026 HYTEK PROJECTS/CORAL HOMES/HG260001 LOT 289 (29) COORA CRESENT CURRIMUNDI/03 DETAILING/03 FRAMECAD DETAILER/HG260001 LOT 289 (29) COORA CRESENT CURRIMUNDI.fcp","HG260001 LOT 289 (29) COORA CRESENT CURRIMUNDI.fcp")</f>
        <v/>
      </c>
      <c r="T8" s="7">
        <f>HYPERLINK("file:///Y:/(17) 2026 HYTEK PROJECTS/CORAL HOMES/HG260001 LOT 289 (29) COORA CRESENT CURRIMUNDI/03 DETAILING/03 FRAMECAD DETAILER/01 XML OUTPUT/HG260001 LOT 289 COORA CRESCENT CURRIMUNDI 4551-GF-LBW-70.075.xml","HG260001 LOT 289 COORA CRESCENT CURRIMUNDI 4551-GF")</f>
        <v/>
      </c>
    </row>
    <row r="9" ht="169" customHeight="1">
      <c r="A9" s="2" t="n">
        <v>8</v>
      </c>
      <c r="B9" s="2" t="inlineStr">
        <is>
          <t>A</t>
        </is>
      </c>
      <c r="C9" s="2" t="inlineStr">
        <is>
          <t>Wall studs (S, J)</t>
        </is>
      </c>
      <c r="D9" s="2" t="inlineStr">
        <is>
          <t>89mm</t>
        </is>
      </c>
      <c r="E9" s="2" t="inlineStr">
        <is>
          <t>Always</t>
        </is>
      </c>
      <c r="F9" s="2" t="inlineStr">
        <is>
          <t>Same 4-op pattern as 70mm at 89mm constants</t>
        </is>
      </c>
      <c r="G9" s="8" t="inlineStr">
        <is>
          <t>No</t>
        </is>
      </c>
      <c r="H9" s="2" t="inlineStr"/>
      <c r="I9" s="5" t="inlineStr">
        <is>
          <t>MINED FROM 6,675 STICKS — overall 91.6% match
"89mm wall stud has standard 39mm Swage span at start"
By plan_type:
  LBW                               4107/4417  =  93.0%
  NLBW                              2005/2258  =  88.8%
By stick_profile:
  89S41_0.75                        5196/5674  =  91.6%
  89S41_0.95                         680/727   =  93.5%
  89S41_1.15                         236/274   =  86.1%</t>
        </is>
      </c>
      <c r="J9" s="6" t="inlineStr">
        <is>
          <t>HG260012
TH01-GF-LBW-89.075
frame L1101
stick S1</t>
        </is>
      </c>
      <c r="K9" s="2" t="inlineStr">
        <is>
          <t>Do 89mm wall studs really use the same 39mm cap and 16.5mm dimple as 70mm?</t>
        </is>
      </c>
      <c r="L9" s="2" t="inlineStr">
        <is>
          <t>7,104 sticks / 84 pairs</t>
        </is>
      </c>
      <c r="M9" s="2" t="inlineStr">
        <is>
          <t>small (corpus already aligns)</t>
        </is>
      </c>
      <c r="N9" s="2" t="inlineStr">
        <is>
          <t>WHAT WE EMIT: 89mm wall studs use the same 39mm Swage cap + 16.5mm dimple as 70mm. Constants come from MACHINE_SETUPS['6'] (F325iT 89mm) which has Tab=35 + Clearance=4 = 39, identical to 70mm.
WHAT I NEED FROM YOU: Confirm 89mm wall studs really use the same 39mm cap + 16.5mm dimple. If different, what are the values?</t>
        </is>
      </c>
      <c r="O9" s="9" t="inlineStr">
        <is>
          <t xml:space="preserve">THE RULE SHOULD FIRE WHEN: 
THE VALUES ARE: 
IT SHOULD NOT FIRE WHEN: 
WHY (physical reason): </t>
        </is>
      </c>
      <c r="P9" s="7">
        <f>HYPERLINK("file:///C:/Users/Scott/CLAUDE CODE/hytek-rfy-codec/docs/rule-pdfs/rule-08.pdf","rule-08.pdf")</f>
        <v/>
      </c>
      <c r="Q9" s="7">
        <f>HYPERLINK("file:///Y:/(17) 2026 HYTEK PROJECTS/AKAM CONSTRUCTIONS/HG260012 23 SPRINGWOOD ST TOWNHOUSES/06 MANUFACTURING/02 DRAWINGS MANUFACTURING/01 LGS/TH01-02/HG260012 [Akam] 23 Springwood Street -TH01-02-TH01-GF-LBW-89.075.pdf","HG260012 [Akam] 23 Springwood Street -TH01-02-TH01")</f>
        <v/>
      </c>
      <c r="R9" s="7">
        <f>HYPERLINK("file:///Y:/(17) 2026 HYTEK PROJECTS/AKAM CONSTRUCTIONS/HG260012 23 SPRINGWOOD ST TOWNHOUSES/01 PROJECT DOCUMENTATION/02 CURRENT DOCS/01 PDF/188. 23 Springwood St - Issue For Construction plan set.pdf","188. 23 Springwood St - Issue For Construction pla")</f>
        <v/>
      </c>
      <c r="S9" s="7">
        <f>HYPERLINK("file:///Y:/(17) 2026 HYTEK PROJECTS/AKAM CONSTRUCTIONS/HG260012 23 SPRINGWOOD ST TOWNHOUSES/03 DETAILING/03 FRAMECAD DETAILER/HG260012 [Akam] 23 Springwood Street -TH01-02.fcp","HG260012 [Akam] 23 Springwood Street -TH01-02.fcp")</f>
        <v/>
      </c>
      <c r="T9" s="7">
        <f>HYPERLINK("file:///Y:/(17) 2026 HYTEK PROJECTS/AKAM CONSTRUCTIONS/HG260012 23 SPRINGWOOD ST TOWNHOUSES/03 DETAILING/03 FRAMECAD DETAILER/01 XML OUTPUT/HG260012 [Akam] 23 Springwood Street -TH01-02-TH01-GF-LBW-89.075.xml","HG260012 [Akam] 23 Springwood Street -TH01-02-TH01")</f>
        <v/>
      </c>
    </row>
    <row r="10" ht="260" customHeight="1">
      <c r="A10" s="2" t="n">
        <v>9</v>
      </c>
      <c r="B10" s="2" t="inlineStr">
        <is>
          <t>B</t>
        </is>
      </c>
      <c r="C10" s="2" t="inlineStr">
        <is>
          <t>Cripple/king studs (Kb)</t>
        </is>
      </c>
      <c r="D10" s="2" t="inlineStr">
        <is>
          <t>70mm</t>
        </is>
      </c>
      <c r="E10" s="2" t="inlineStr">
        <is>
          <t>Kb only</t>
        </is>
      </c>
      <c r="F10" s="2" t="inlineStr">
        <is>
          <t>Chamfer at start ONLY (codec shortcut — actually wrong, real rule is auto-chamfer per-end)</t>
        </is>
      </c>
      <c r="G10" s="4" t="inlineStr">
        <is>
          <t>Spec'd</t>
        </is>
      </c>
      <c r="H10" s="2" t="inlineStr">
        <is>
          <t>Detailer User Manual p.32 (Chamfer Tolerance) + machine-setups.ts: chamferTolerance + automaticChamfer
MANUAL: 'Chamfer Tolerance — When one member intersects another at an angle (e.g. a brace), this is the distance that the corner of that member comes within the web side of the intersecting member before a chamfer is applied. 2mm is generally sufficient for 0.75 to 0.95 material as this also allows for the radius in the folds. Increase this figure for thicker material.' HYTEK setup uses 4mm. RULE: per-end geometric collision check; chamfer fires when corner protrudes into adjacent member's web by more than chamferTolerance.</t>
        </is>
      </c>
      <c r="I10" s="5" t="inlineStr">
        <is>
          <t>MINED FROM 17,233 STICKS — overall 44.3% match
"Kb/W has any Chamfer (auto-chamfer fired) — by role+plan+frame"
By plan_type:
  TIN                               2076/6209  =  33.4%
  LBW                               3533/5685  =  62.1%
  TB2B                                 0/2763  =   0.0%
  FJ                                 948/1395  =  68.0%
  NLBW                               782/862   =  90.7%
By frame_type:
  Truss                             2071/8928  =  23.2%
  ExternalWall                      2639/4378  =  60.3%
  InternalWall                      1676/2169  =  77.3%
  Joist                              948/1395  =  68.0%
  RoofPanel                          245/271   =  90.4%</t>
        </is>
      </c>
      <c r="J10" s="2" t="inlineStr"/>
      <c r="K10" s="2" t="inlineStr">
        <is>
          <t>(see Source col)</t>
        </is>
      </c>
      <c r="L10" s="2" t="inlineStr"/>
      <c r="M10" s="2" t="inlineStr">
        <is>
          <t>small (covered by auto-chamfer rewrite)</t>
        </is>
      </c>
      <c r="N10" s="2" t="inlineStr"/>
      <c r="O10" s="2" t="inlineStr"/>
      <c r="P10" s="2" t="inlineStr"/>
      <c r="Q10" s="7">
        <f>HYPERLINK("file:///Y:/(17) 2026 HYTEK PROJECTS/CORAL HOMES/HG260001 LOT 289 (29) COORA CRESENT CURRIMUNDI/06 MANUFACTURING/02 DRAWINGS MANUFACTURING/01 LGS/HG260001 LOT 289 COORA CRESCENT CURRIMUNDI 4551-GF-LBW-70.075.pdf","HG260001 LOT 289 COORA CRESCENT CURRIMUNDI 4551-GF")</f>
        <v/>
      </c>
      <c r="R10" s="7">
        <f>HYPERLINK("file:///Y:/(17) 2026 HYTEK PROJECTS/CORAL HOMES/HG260001 LOT 289 (29) COORA CRESENT CURRIMUNDI/01 PROJECT DOCUMENTATION/02 CURRENT DOCS/01 PDF/CONSTRUCTION DETAILS.pdf","CONSTRUCTION DETAILS.pdf")</f>
        <v/>
      </c>
      <c r="S10" s="7">
        <f>HYPERLINK("file:///Y:/(17) 2026 HYTEK PROJECTS/CORAL HOMES/HG260001 LOT 289 (29) COORA CRESENT CURRIMUNDI/03 DETAILING/03 FRAMECAD DETAILER/HG260001 LOT 289 (29) COORA CRESENT CURRIMUNDI.fcp","HG260001 LOT 289 (29) COORA CRESENT CURRIMUNDI.fcp")</f>
        <v/>
      </c>
      <c r="T10" s="7">
        <f>HYPERLINK("file:///Y:/(17) 2026 HYTEK PROJECTS/CORAL HOMES/HG260001 LOT 289 (29) COORA CRESENT CURRIMUNDI/03 DETAILING/03 FRAMECAD DETAILER/01 XML OUTPUT/HG260001 LOT 289 COORA CRESCENT CURRIMUNDI 4551-GF-LBW-70.075.xml","HG260001 LOT 289 COORA CRESCENT CURRIMUNDI 4551-GF")</f>
        <v/>
      </c>
    </row>
    <row r="11" ht="22" customHeight="1">
      <c r="A11" s="2" t="n">
        <v>10</v>
      </c>
      <c r="B11" s="2" t="inlineStr">
        <is>
          <t>B</t>
        </is>
      </c>
      <c r="C11" s="2" t="inlineStr">
        <is>
          <t>Cripple/king studs (Kb)</t>
        </is>
      </c>
      <c r="D11" s="2" t="inlineStr">
        <is>
          <t>70mm</t>
        </is>
      </c>
      <c r="E11" s="2" t="inlineStr">
        <is>
          <t>Kb only</t>
        </is>
      </c>
      <c r="F11" s="2" t="inlineStr">
        <is>
          <t>Start Swage 0..42mm</t>
        </is>
      </c>
      <c r="G11" s="3" t="inlineStr">
        <is>
          <t>Yes</t>
        </is>
      </c>
      <c r="H11" s="2" t="inlineStr"/>
      <c r="I11" s="2" t="inlineStr"/>
      <c r="J11" s="2" t="inlineStr"/>
      <c r="K11" s="2" t="inlineStr"/>
      <c r="L11" s="2" t="inlineStr">
        <is>
          <t>—</t>
        </is>
      </c>
      <c r="M11" s="2" t="inlineStr">
        <is>
          <t>—</t>
        </is>
      </c>
      <c r="N11" s="2" t="inlineStr"/>
      <c r="O11" s="2" t="inlineStr"/>
      <c r="P11" s="2" t="inlineStr"/>
      <c r="Q11" s="2" t="inlineStr"/>
      <c r="R11" s="2" t="inlineStr"/>
      <c r="S11" s="2" t="inlineStr"/>
      <c r="T11" s="2" t="inlineStr"/>
    </row>
    <row r="12" ht="22" customHeight="1">
      <c r="A12" s="2" t="n">
        <v>11</v>
      </c>
      <c r="B12" s="2" t="inlineStr">
        <is>
          <t>B</t>
        </is>
      </c>
      <c r="C12" s="2" t="inlineStr">
        <is>
          <t>Cripple/king studs (Kb)</t>
        </is>
      </c>
      <c r="D12" s="2" t="inlineStr">
        <is>
          <t>70mm</t>
        </is>
      </c>
      <c r="E12" s="2" t="inlineStr">
        <is>
          <t>Kb only</t>
        </is>
      </c>
      <c r="F12" s="2" t="inlineStr">
        <is>
          <t>Start InnerDimple at 10mm (NOT 16.5)</t>
        </is>
      </c>
      <c r="G12" s="3" t="inlineStr">
        <is>
          <t>Yes</t>
        </is>
      </c>
      <c r="H12" s="2" t="inlineStr"/>
      <c r="I12" s="2" t="inlineStr"/>
      <c r="J12" s="2" t="inlineStr"/>
      <c r="K12" s="2" t="inlineStr"/>
      <c r="L12" s="2" t="inlineStr">
        <is>
          <t>—</t>
        </is>
      </c>
      <c r="M12" s="2" t="inlineStr">
        <is>
          <t>—</t>
        </is>
      </c>
      <c r="N12" s="2" t="inlineStr"/>
      <c r="O12" s="2" t="inlineStr"/>
      <c r="P12" s="2" t="inlineStr"/>
      <c r="Q12" s="2" t="inlineStr"/>
      <c r="R12" s="2" t="inlineStr"/>
      <c r="S12" s="2" t="inlineStr"/>
      <c r="T12" s="2" t="inlineStr"/>
    </row>
    <row r="13" ht="260" customHeight="1">
      <c r="A13" s="2" t="n">
        <v>12</v>
      </c>
      <c r="B13" s="2" t="inlineStr">
        <is>
          <t>B</t>
        </is>
      </c>
      <c r="C13" s="2" t="inlineStr">
        <is>
          <t>Cripple/king studs (Kb)</t>
        </is>
      </c>
      <c r="D13" s="2" t="inlineStr">
        <is>
          <t>70mm</t>
        </is>
      </c>
      <c r="E13" s="2" t="inlineStr">
        <is>
          <t>Kb only, angle-dependent</t>
        </is>
      </c>
      <c r="F13" s="2" t="inlineStr">
        <is>
          <t>End Swage span = 45 / cos(angle from horizontal)</t>
        </is>
      </c>
      <c r="G13" s="4" t="inlineStr">
        <is>
          <t>Spec'd</t>
        </is>
      </c>
      <c r="H13" s="2" t="inlineStr">
        <is>
          <t>Detailer User Manual p.32 + machine-setups.ts: chamferDetail + chamferTolerance
Replace '45/cos(angle)' formula with cap span derived from chamfer triangle's max-x (14.5mm) projected onto the angled stick axis. Once auto-chamfer cuts the corner, the end-cap follows the cut edge geometrically.</t>
        </is>
      </c>
      <c r="I13" s="5" t="inlineStr">
        <is>
          <t>MINED FROM 2,987 STICKS — overall 59.4% match
"Kb has angle-scaled end Swage (&gt;=50mm span — auto-chamfer fired)"
By plan_type:
  LBW                               1212/2021  =  60.0%
  NLBW                               361/692   =  52.2%
  RP                                 177/226   =  78.3%
  CP                                  24/48    =  50.0%
By (stick_profile, plan_type):
  89S41_0.75 | LBW                   517/747   =  69.2%
  70S41_0.75 | LBW                   386/734   =  52.6%
  70S41_0.75 | NLBW                  209/422   =  49.5%
  70S41_0.95 | LBW                   210/411   =  51.1%
  89S41_0.75 | NLBW                  147/260   =  56.5%</t>
        </is>
      </c>
      <c r="J13" s="6" t="inlineStr">
        <is>
          <t>HG260001
GF-LBW-70.075
frame PK4-L4
stick Kb1</t>
        </is>
      </c>
      <c r="K13" s="2" t="inlineStr">
        <is>
          <t>(see Source col)</t>
        </is>
      </c>
      <c r="L13" s="2" t="inlineStr">
        <is>
          <t>1,731 sticks / 94 pairs</t>
        </is>
      </c>
      <c r="M13" s="2" t="inlineStr">
        <is>
          <t>small</t>
        </is>
      </c>
      <c r="N13" s="2" t="inlineStr"/>
      <c r="O13" s="2" t="inlineStr"/>
      <c r="P13" s="7">
        <f>HYPERLINK("file:///C:/Users/Scott/CLAUDE CODE/hytek-rfy-codec/docs/rule-pdfs/rule-12.pdf","rule-12.pdf")</f>
        <v/>
      </c>
      <c r="Q13" s="7">
        <f>HYPERLINK("file:///Y:/(17) 2026 HYTEK PROJECTS/CORAL HOMES/HG260001 LOT 289 (29) COORA CRESENT CURRIMUNDI/06 MANUFACTURING/02 DRAWINGS MANUFACTURING/01 LGS/HG260001 LOT 289 COORA CRESCENT CURRIMUNDI 4551-GF-LBW-70.075.pdf","HG260001 LOT 289 COORA CRESCENT CURRIMUNDI 4551-GF")</f>
        <v/>
      </c>
      <c r="R13" s="7">
        <f>HYPERLINK("file:///Y:/(17) 2026 HYTEK PROJECTS/CORAL HOMES/HG260001 LOT 289 (29) COORA CRESENT CURRIMUNDI/01 PROJECT DOCUMENTATION/02 CURRENT DOCS/01 PDF/CONSTRUCTION DETAILS.pdf","CONSTRUCTION DETAILS.pdf")</f>
        <v/>
      </c>
      <c r="S13" s="7">
        <f>HYPERLINK("file:///Y:/(17) 2026 HYTEK PROJECTS/CORAL HOMES/HG260001 LOT 289 (29) COORA CRESENT CURRIMUNDI/03 DETAILING/03 FRAMECAD DETAILER/HG260001 LOT 289 (29) COORA CRESENT CURRIMUNDI.fcp","HG260001 LOT 289 (29) COORA CRESENT CURRIMUNDI.fcp")</f>
        <v/>
      </c>
      <c r="T13" s="7">
        <f>HYPERLINK("file:///Y:/(17) 2026 HYTEK PROJECTS/CORAL HOMES/HG260001 LOT 289 (29) COORA CRESENT CURRIMUNDI/03 DETAILING/03 FRAMECAD DETAILER/01 XML OUTPUT/HG260001 LOT 289 COORA CRESCENT CURRIMUNDI 4551-GF-LBW-70.075.xml","HG260001 LOT 289 COORA CRESCENT CURRIMUNDI 4551-GF")</f>
        <v/>
      </c>
    </row>
    <row r="14" ht="22" customHeight="1">
      <c r="A14" s="2" t="n">
        <v>13</v>
      </c>
      <c r="B14" s="2" t="inlineStr">
        <is>
          <t>B</t>
        </is>
      </c>
      <c r="C14" s="2" t="inlineStr">
        <is>
          <t>Cripple/king studs (Kb)</t>
        </is>
      </c>
      <c r="D14" s="2" t="inlineStr">
        <is>
          <t>70mm</t>
        </is>
      </c>
      <c r="E14" s="2" t="inlineStr">
        <is>
          <t>Kb only</t>
        </is>
      </c>
      <c r="F14" s="2" t="inlineStr">
        <is>
          <t>End InnerDimple at length-10</t>
        </is>
      </c>
      <c r="G14" s="3" t="inlineStr">
        <is>
          <t>Yes</t>
        </is>
      </c>
      <c r="H14" s="2" t="inlineStr"/>
      <c r="I14" s="2" t="inlineStr"/>
      <c r="J14" s="2" t="inlineStr"/>
      <c r="K14" s="2" t="inlineStr"/>
      <c r="L14" s="2" t="inlineStr">
        <is>
          <t>—</t>
        </is>
      </c>
      <c r="M14" s="2" t="inlineStr">
        <is>
          <t>—</t>
        </is>
      </c>
      <c r="N14" s="2" t="inlineStr"/>
      <c r="O14" s="2" t="inlineStr"/>
      <c r="P14" s="2" t="inlineStr"/>
      <c r="Q14" s="2" t="inlineStr"/>
      <c r="R14" s="2" t="inlineStr"/>
      <c r="S14" s="2" t="inlineStr"/>
      <c r="T14" s="2" t="inlineStr"/>
    </row>
    <row r="15" ht="252" customHeight="1">
      <c r="A15" s="2" t="n">
        <v>14</v>
      </c>
      <c r="B15" s="2" t="inlineStr">
        <is>
          <t>B</t>
        </is>
      </c>
      <c r="C15" s="2" t="inlineStr">
        <is>
          <t>Cripple/king studs (Kb)</t>
        </is>
      </c>
      <c r="D15" s="2" t="inlineStr">
        <is>
          <t>89mm</t>
        </is>
      </c>
      <c r="E15" s="2" t="inlineStr">
        <is>
          <t>Always</t>
        </is>
      </c>
      <c r="F15" s="2" t="inlineStr">
        <is>
          <t>Same Kb pattern as 70mm</t>
        </is>
      </c>
      <c r="G15" s="4" t="inlineStr">
        <is>
          <t>Spec'd</t>
        </is>
      </c>
      <c r="H15" s="2" t="inlineStr">
        <is>
          <t>Detailer User Manual p.32 + machine-setups.ts (89mm setup)
Same auto-chamfer rule as rule 9, applied to 89mm Kb. Setup 6 (F325iT 89mm) has identical chamfer constants to setup 2 (70mm).</t>
        </is>
      </c>
      <c r="I15" s="5" t="inlineStr">
        <is>
          <t>MINED FROM 2,987 STICKS — overall 59.4% match
"Kb has angle-scaled end Swage (&gt;=50mm span — auto-chamfer fired)"
By plan_type:
  LBW                               1212/2021  =  60.0%
  NLBW                               361/692   =  52.2%
  RP                                 177/226   =  78.3%
  CP                                  24/48    =  50.0%
By (stick_profile, plan_type):
  89S41_0.75 | LBW                   517/747   =  69.2%
  70S41_0.75 | LBW                   386/734   =  52.6%
  70S41_0.75 | NLBW                  209/422   =  49.5%
  70S41_0.95 | LBW                   210/411   =  51.1%
  89S41_0.75 | NLBW                  147/260   =  56.5%</t>
        </is>
      </c>
      <c r="J15" s="6" t="inlineStr">
        <is>
          <t>HG250030
GF-LBW-89.075
frame L24
stick Kb2</t>
        </is>
      </c>
      <c r="K15" s="2" t="inlineStr">
        <is>
          <t>(see Source col)</t>
        </is>
      </c>
      <c r="L15" s="2" t="inlineStr">
        <is>
          <t>1,256 sticks / 46 pairs</t>
        </is>
      </c>
      <c r="M15" s="2" t="inlineStr">
        <is>
          <t>small</t>
        </is>
      </c>
      <c r="N15" s="2" t="inlineStr"/>
      <c r="O15" s="2" t="inlineStr"/>
      <c r="P15" s="7">
        <f>HYPERLINK("file:///C:/Users/Scott/CLAUDE CODE/hytek-rfy-codec/docs/rule-pdfs/rule-14.pdf","rule-14.pdf")</f>
        <v/>
      </c>
      <c r="Q15" s="7">
        <f>HYPERLINK("file:///Y:/(14) 2025 HYTEK PROJECTS/BOWE ELECTRICAL/HG250030 24 BAYVIEW STREET WELLINGTON POINT/06 MANUFACTURING/02 DRAWINGS MANUFACTURING/01 LGS/HG250030 24 BAYVIEW STREET WELLINGTON POINT Rev 6-GF-LBW-89.075.pdf","HG250030 24 BAYVIEW STREET WELLINGTON POINT Rev 6-")</f>
        <v/>
      </c>
      <c r="R15" s="2" t="inlineStr"/>
      <c r="S15" s="7">
        <f>HYPERLINK("file:///Y:/(14) 2025 HYTEK PROJECTS/BOWE ELECTRICAL/HG250030 24 BAYVIEW STREET WELLINGTON POINT/03 DETAILING/03 FRAMECAD DETAILER/HG250030.fcp","HG250030.fcp")</f>
        <v/>
      </c>
      <c r="T15" s="7">
        <f>HYPERLINK("file:///Y:/(14) 2025 HYTEK PROJECTS/BOWE ELECTRICAL/HG250030 24 BAYVIEW STREET WELLINGTON POINT/03 DETAILING/03 FRAMECAD DETAILER/01 XML OUTPUT/HG250030 24 BAYVIEW STREET WELLINGTON POINT Rev 6-GF-LBW-89.075.xml","HG250030 24 BAYVIEW STREET WELLINGTON POINT Rev 6-")</f>
        <v/>
      </c>
    </row>
    <row r="16" ht="140" customHeight="1">
      <c r="A16" s="2" t="n">
        <v>15</v>
      </c>
      <c r="B16" s="2" t="inlineStr">
        <is>
          <t>C</t>
        </is>
      </c>
      <c r="C16" s="2" t="inlineStr">
        <is>
          <t>Header stud (H, single)</t>
        </is>
      </c>
      <c r="D16" s="2" t="inlineStr">
        <is>
          <t>70mm</t>
        </is>
      </c>
      <c r="E16" s="2" t="inlineStr">
        <is>
          <t>H not Kb</t>
        </is>
      </c>
      <c r="F16" s="2" t="inlineStr">
        <is>
          <t>End Swage span 43mm</t>
        </is>
      </c>
      <c r="G16" s="8" t="inlineStr">
        <is>
          <t>No</t>
        </is>
      </c>
      <c r="H16" s="2" t="inlineStr"/>
      <c r="I16" s="2" t="inlineStr"/>
      <c r="J16" s="6" t="inlineStr">
        <is>
          <t>HG260001
GF-LBW-70.075
frame PK4-L4
stick H1</t>
        </is>
      </c>
      <c r="K16" s="2" t="inlineStr">
        <is>
          <t>Is the cripple-role H rule actually live, or dead code? When does H differ from Kb?</t>
        </is>
      </c>
      <c r="L16" s="2" t="inlineStr">
        <is>
          <t>933 sticks / 80 pairs</t>
        </is>
      </c>
      <c r="M16" s="2" t="inlineStr">
        <is>
          <t>negligible</t>
        </is>
      </c>
      <c r="N16" s="2" t="inlineStr">
        <is>
          <t>WHAT WE EMIT: When a stick named H is matched as 'cripple' (not full header), end Swage span is 43mm.
WHAT WORRIES ME: There are two rules for sticks named H. Since H sticks always have role='H', HEADER_ROLES always wins, so this 43mm rule is probably DEAD CODE.
WHAT I NEED FROM YOU: Are there ever sticks named H that should be treated like cripple studs (43mm Swage cap) instead of full headers?</t>
        </is>
      </c>
      <c r="O16" s="9" t="inlineStr">
        <is>
          <t xml:space="preserve">THE RULE SHOULD FIRE WHEN: 
THE VALUES ARE: 
IT SHOULD NOT FIRE WHEN: 
WHY (physical reason): </t>
        </is>
      </c>
      <c r="P16" s="7">
        <f>HYPERLINK("file:///C:/Users/Scott/CLAUDE CODE/hytek-rfy-codec/docs/rule-pdfs/rule-15.pdf","rule-15.pdf")</f>
        <v/>
      </c>
      <c r="Q16" s="7">
        <f>HYPERLINK("file:///Y:/(17) 2026 HYTEK PROJECTS/CORAL HOMES/HG260001 LOT 289 (29) COORA CRESENT CURRIMUNDI/06 MANUFACTURING/02 DRAWINGS MANUFACTURING/01 LGS/HG260001 LOT 289 COORA CRESCENT CURRIMUNDI 4551-GF-LBW-70.075.pdf","HG260001 LOT 289 COORA CRESCENT CURRIMUNDI 4551-GF")</f>
        <v/>
      </c>
      <c r="R16" s="7">
        <f>HYPERLINK("file:///Y:/(17) 2026 HYTEK PROJECTS/CORAL HOMES/HG260001 LOT 289 (29) COORA CRESENT CURRIMUNDI/01 PROJECT DOCUMENTATION/02 CURRENT DOCS/01 PDF/CONSTRUCTION DETAILS.pdf","CONSTRUCTION DETAILS.pdf")</f>
        <v/>
      </c>
      <c r="S16" s="7">
        <f>HYPERLINK("file:///Y:/(17) 2026 HYTEK PROJECTS/CORAL HOMES/HG260001 LOT 289 (29) COORA CRESENT CURRIMUNDI/03 DETAILING/03 FRAMECAD DETAILER/HG260001 LOT 289 (29) COORA CRESENT CURRIMUNDI.fcp","HG260001 LOT 289 (29) COORA CRESENT CURRIMUNDI.fcp")</f>
        <v/>
      </c>
      <c r="T16" s="7">
        <f>HYPERLINK("file:///Y:/(17) 2026 HYTEK PROJECTS/CORAL HOMES/HG260001 LOT 289 (29) COORA CRESENT CURRIMUNDI/03 DETAILING/03 FRAMECAD DETAILER/01 XML OUTPUT/HG260001 LOT 289 COORA CRESCENT CURRIMUNDI 4551-GF-LBW-70.075.xml","HG260001 LOT 289 COORA CRESCENT CURRIMUNDI 4551-GF")</f>
        <v/>
      </c>
    </row>
    <row r="17" ht="22" customHeight="1">
      <c r="A17" s="2" t="n">
        <v>16</v>
      </c>
      <c r="B17" s="2" t="inlineStr">
        <is>
          <t>D</t>
        </is>
      </c>
      <c r="C17" s="2" t="inlineStr">
        <is>
          <t>Short top plate (T&lt;200mm)</t>
        </is>
      </c>
      <c r="D17" s="2" t="inlineStr">
        <is>
          <t>70mm</t>
        </is>
      </c>
      <c r="E17" s="2" t="inlineStr">
        <is>
          <t>Length&lt;200mm</t>
        </is>
      </c>
      <c r="F17" s="2" t="inlineStr">
        <is>
          <t>Start InnerNotch span 39mm</t>
        </is>
      </c>
      <c r="G17" s="3" t="inlineStr">
        <is>
          <t>Yes</t>
        </is>
      </c>
      <c r="H17" s="2" t="inlineStr"/>
      <c r="I17" s="2" t="inlineStr"/>
      <c r="J17" s="2" t="inlineStr"/>
      <c r="K17" s="2" t="inlineStr"/>
      <c r="L17" s="2" t="inlineStr">
        <is>
          <t>—</t>
        </is>
      </c>
      <c r="M17" s="2" t="inlineStr">
        <is>
          <t>—</t>
        </is>
      </c>
      <c r="N17" s="2" t="inlineStr"/>
      <c r="O17" s="2" t="inlineStr"/>
      <c r="P17" s="2" t="inlineStr"/>
      <c r="Q17" s="2" t="inlineStr"/>
      <c r="R17" s="2" t="inlineStr"/>
      <c r="S17" s="2" t="inlineStr"/>
      <c r="T17" s="2" t="inlineStr"/>
    </row>
    <row r="18" ht="22" customHeight="1">
      <c r="A18" s="2" t="n">
        <v>17</v>
      </c>
      <c r="B18" s="2" t="inlineStr">
        <is>
          <t>D</t>
        </is>
      </c>
      <c r="C18" s="2" t="inlineStr">
        <is>
          <t>Short top plate (T&lt;200mm)</t>
        </is>
      </c>
      <c r="D18" s="2" t="inlineStr">
        <is>
          <t>70mm</t>
        </is>
      </c>
      <c r="E18" s="2" t="inlineStr">
        <is>
          <t>Length&lt;200mm</t>
        </is>
      </c>
      <c r="F18" s="2" t="inlineStr">
        <is>
          <t>Start LipNotch span 39mm</t>
        </is>
      </c>
      <c r="G18" s="3" t="inlineStr">
        <is>
          <t>Yes</t>
        </is>
      </c>
      <c r="H18" s="2" t="inlineStr"/>
      <c r="I18" s="2" t="inlineStr"/>
      <c r="J18" s="2" t="inlineStr"/>
      <c r="K18" s="2" t="inlineStr"/>
      <c r="L18" s="2" t="inlineStr">
        <is>
          <t>—</t>
        </is>
      </c>
      <c r="M18" s="2" t="inlineStr">
        <is>
          <t>—</t>
        </is>
      </c>
      <c r="N18" s="2" t="inlineStr"/>
      <c r="O18" s="2" t="inlineStr"/>
      <c r="P18" s="2" t="inlineStr"/>
      <c r="Q18" s="2" t="inlineStr"/>
      <c r="R18" s="2" t="inlineStr"/>
      <c r="S18" s="2" t="inlineStr"/>
      <c r="T18" s="2" t="inlineStr"/>
    </row>
    <row r="19" ht="22" customHeight="1">
      <c r="A19" s="2" t="n">
        <v>18</v>
      </c>
      <c r="B19" s="2" t="inlineStr">
        <is>
          <t>D</t>
        </is>
      </c>
      <c r="C19" s="2" t="inlineStr">
        <is>
          <t>Short top plate (T&lt;200mm)</t>
        </is>
      </c>
      <c r="D19" s="2" t="inlineStr">
        <is>
          <t>70mm</t>
        </is>
      </c>
      <c r="E19" s="2" t="inlineStr">
        <is>
          <t>Length&lt;200mm</t>
        </is>
      </c>
      <c r="F19" s="2" t="inlineStr">
        <is>
          <t>Start InnerDimple at 16.5</t>
        </is>
      </c>
      <c r="G19" s="3" t="inlineStr">
        <is>
          <t>Yes</t>
        </is>
      </c>
      <c r="H19" s="2" t="inlineStr"/>
      <c r="I19" s="2" t="inlineStr"/>
      <c r="J19" s="2" t="inlineStr"/>
      <c r="K19" s="2" t="inlineStr"/>
      <c r="L19" s="2" t="inlineStr">
        <is>
          <t>—</t>
        </is>
      </c>
      <c r="M19" s="2" t="inlineStr">
        <is>
          <t>—</t>
        </is>
      </c>
      <c r="N19" s="2" t="inlineStr"/>
      <c r="O19" s="2" t="inlineStr"/>
      <c r="P19" s="2" t="inlineStr"/>
      <c r="Q19" s="2" t="inlineStr"/>
      <c r="R19" s="2" t="inlineStr"/>
      <c r="S19" s="2" t="inlineStr"/>
      <c r="T19" s="2" t="inlineStr"/>
    </row>
    <row r="20" ht="208" customHeight="1">
      <c r="A20" s="2" t="n">
        <v>19</v>
      </c>
      <c r="B20" s="2" t="inlineStr">
        <is>
          <t>D</t>
        </is>
      </c>
      <c r="C20" s="2" t="inlineStr">
        <is>
          <t>Short top plate (T&lt;200mm)</t>
        </is>
      </c>
      <c r="D20" s="2" t="inlineStr">
        <is>
          <t>70mm</t>
        </is>
      </c>
      <c r="E20" s="2" t="inlineStr">
        <is>
          <t>Length&lt;200mm AND LBW</t>
        </is>
      </c>
      <c r="F20" s="2" t="inlineStr">
        <is>
          <t>Start InnerDimple at 58.5 (paired)</t>
        </is>
      </c>
      <c r="G20" s="8" t="inlineStr">
        <is>
          <t>No</t>
        </is>
      </c>
      <c r="H20" s="2" t="inlineStr"/>
      <c r="I20" s="5" t="inlineStr">
        <is>
          <t>MINED FROM 1,465 STICKS — overall 49.7% match
"Header @58.5 paired dimple — does Detailer emit it?"
By plan_type:
  LBW                                720/1007  =  71.5%
  NLBW                                 8/458   =   1.7%
By (plan_type, gauge):
  LBW/0.75                           446/599   =  74.5%
  NLBW/0.75                            8/448   =   1.8%
  LBW/0.95                           240/351   =  68.4%
  LBW/1.15                            34/57    =  59.6%
  NLBW/0.95                            0/10    =   0.0%</t>
        </is>
      </c>
      <c r="J20" s="6" t="inlineStr">
        <is>
          <t>HG260001
GF-LBW-70.075
frame PK4-L4
stick T2</t>
        </is>
      </c>
      <c r="K20" s="2" t="inlineStr">
        <is>
          <t>Why is the 58.5 paired dimple LBW-only? What does it represent physically (strap, screw, joist hanger)?</t>
        </is>
      </c>
      <c r="L20" s="2" t="inlineStr">
        <is>
          <t>224 sticks / 50 pairs</t>
        </is>
      </c>
      <c r="M20" s="2" t="inlineStr">
        <is>
          <t>small</t>
        </is>
      </c>
      <c r="N20" s="2" t="inlineStr">
        <is>
          <t>WHAT WE EMIT: Short top sub-plates (T&lt;200mm, sit ABOVE a header) get a paired dimple at 58.5mm from the start. ONLY on LBW plans, not NLBW.
WHAT DETAILER DOES: HG260001 PK4 LBW L4 (T2/T3/T4 sub-plates 121-127mm) shows ref dimples at 58.5. Our NLBW corpus doesn't.
WHAT I NEED FROM YOU: What does the 58.5 dimple represent physically (strap, header connector, joist hanger)? Why is it LBW-only?</t>
        </is>
      </c>
      <c r="O20" s="9" t="inlineStr">
        <is>
          <t xml:space="preserve">THE RULE SHOULD FIRE WHEN: 
THE VALUES ARE: 
IT SHOULD NOT FIRE WHEN: 
WHY (physical reason): </t>
        </is>
      </c>
      <c r="P20" s="7">
        <f>HYPERLINK("file:///C:/Users/Scott/CLAUDE CODE/hytek-rfy-codec/docs/rule-pdfs/rule-19.pdf","rule-19.pdf")</f>
        <v/>
      </c>
      <c r="Q20" s="7">
        <f>HYPERLINK("file:///Y:/(17) 2026 HYTEK PROJECTS/CORAL HOMES/HG260001 LOT 289 (29) COORA CRESENT CURRIMUNDI/06 MANUFACTURING/02 DRAWINGS MANUFACTURING/01 LGS/HG260001 LOT 289 COORA CRESCENT CURRIMUNDI 4551-GF-LBW-70.075.pdf","HG260001 LOT 289 COORA CRESCENT CURRIMUNDI 4551-GF")</f>
        <v/>
      </c>
      <c r="R20" s="7">
        <f>HYPERLINK("file:///Y:/(17) 2026 HYTEK PROJECTS/CORAL HOMES/HG260001 LOT 289 (29) COORA CRESENT CURRIMUNDI/01 PROJECT DOCUMENTATION/02 CURRENT DOCS/01 PDF/43983 - TURNBULL - VO2 COLOUR- LBW MARKUP.pdf","43983 - TURNBULL - VO2 COLOUR- LBW MARKUP.pdf")</f>
        <v/>
      </c>
      <c r="S20" s="7">
        <f>HYPERLINK("file:///Y:/(17) 2026 HYTEK PROJECTS/CORAL HOMES/HG260001 LOT 289 (29) COORA CRESENT CURRIMUNDI/03 DETAILING/03 FRAMECAD DETAILER/HG260001 LOT 289 (29) COORA CRESENT CURRIMUNDI.fcp","HG260001 LOT 289 (29) COORA CRESENT CURRIMUNDI.fcp")</f>
        <v/>
      </c>
      <c r="T20" s="7">
        <f>HYPERLINK("file:///Y:/(17) 2026 HYTEK PROJECTS/CORAL HOMES/HG260001 LOT 289 (29) COORA CRESENT CURRIMUNDI/03 DETAILING/03 FRAMECAD DETAILER/01 XML OUTPUT/HG260001 LOT 289 COORA CRESCENT CURRIMUNDI 4551-GF-LBW-70.075.xml","HG260001 LOT 289 COORA CRESCENT CURRIMUNDI 4551-GF")</f>
        <v/>
      </c>
    </row>
    <row r="21" ht="169" customHeight="1">
      <c r="A21" s="2" t="n">
        <v>20</v>
      </c>
      <c r="B21" s="2" t="inlineStr">
        <is>
          <t>D</t>
        </is>
      </c>
      <c r="C21" s="2" t="inlineStr">
        <is>
          <t>Short top plate (T&lt;200mm)</t>
        </is>
      </c>
      <c r="D21" s="2" t="inlineStr">
        <is>
          <t>70mm</t>
        </is>
      </c>
      <c r="E21" s="2" t="inlineStr">
        <is>
          <t>Length&lt;200mm AND LBW</t>
        </is>
      </c>
      <c r="F21" s="2" t="inlineStr">
        <is>
          <t>End InnerDimple at length-58.5</t>
        </is>
      </c>
      <c r="G21" s="8" t="inlineStr">
        <is>
          <t>No</t>
        </is>
      </c>
      <c r="H21" s="2" t="inlineStr"/>
      <c r="I21" s="5" t="inlineStr">
        <is>
          <t>MINED FROM 1,465 STICKS — overall 49.7% match
"Header @58.5 paired dimple — does Detailer emit it?"
By plan_type:
  LBW                                720/1007  =  71.5%
  NLBW                                 8/458   =   1.7%
By (plan_type, gauge):
  LBW/0.75                           446/599   =  74.5%
  NLBW/0.75                            8/448   =   1.8%
  LBW/0.95                           240/351   =  68.4%
  LBW/1.15                            34/57    =  59.6%
  NLBW/0.95                            0/10    =   0.0%</t>
        </is>
      </c>
      <c r="J21" s="6" t="inlineStr">
        <is>
          <t>HG260001
GF-LBW-70.075
frame PK4-L4
stick T2</t>
        </is>
      </c>
      <c r="K21" s="2" t="inlineStr">
        <is>
          <t>Same answer as rule 19 (mirror at end).</t>
        </is>
      </c>
      <c r="L21" s="2" t="inlineStr">
        <is>
          <t>224 sticks / 50 pairs</t>
        </is>
      </c>
      <c r="M21" s="2" t="inlineStr">
        <is>
          <t>small</t>
        </is>
      </c>
      <c r="N21" s="2" t="inlineStr">
        <is>
          <t>Mirror of rule 19 at the end (length-58.5). Once rule 19 is settled, the other follows.</t>
        </is>
      </c>
      <c r="O21" s="9" t="inlineStr">
        <is>
          <t xml:space="preserve">THE RULE SHOULD FIRE WHEN: 
THE VALUES ARE: 
IT SHOULD NOT FIRE WHEN: 
WHY (physical reason): </t>
        </is>
      </c>
      <c r="P21" s="7">
        <f>HYPERLINK("file:///C:/Users/Scott/CLAUDE CODE/hytek-rfy-codec/docs/rule-pdfs/rule-20.pdf","rule-20.pdf")</f>
        <v/>
      </c>
      <c r="Q21" s="7">
        <f>HYPERLINK("file:///Y:/(17) 2026 HYTEK PROJECTS/CORAL HOMES/HG260001 LOT 289 (29) COORA CRESENT CURRIMUNDI/06 MANUFACTURING/02 DRAWINGS MANUFACTURING/01 LGS/HG260001 LOT 289 COORA CRESCENT CURRIMUNDI 4551-GF-LBW-70.075.pdf","HG260001 LOT 289 COORA CRESCENT CURRIMUNDI 4551-GF")</f>
        <v/>
      </c>
      <c r="R21" s="7">
        <f>HYPERLINK("file:///Y:/(17) 2026 HYTEK PROJECTS/CORAL HOMES/HG260001 LOT 289 (29) COORA CRESENT CURRIMUNDI/01 PROJECT DOCUMENTATION/02 CURRENT DOCS/01 PDF/43983 - TURNBULL - VO2 COLOUR- LBW MARKUP.pdf","43983 - TURNBULL - VO2 COLOUR- LBW MARKUP.pdf")</f>
        <v/>
      </c>
      <c r="S21" s="7">
        <f>HYPERLINK("file:///Y:/(17) 2026 HYTEK PROJECTS/CORAL HOMES/HG260001 LOT 289 (29) COORA CRESENT CURRIMUNDI/03 DETAILING/03 FRAMECAD DETAILER/HG260001 LOT 289 (29) COORA CRESENT CURRIMUNDI.fcp","HG260001 LOT 289 (29) COORA CRESENT CURRIMUNDI.fcp")</f>
        <v/>
      </c>
      <c r="T21" s="7">
        <f>HYPERLINK("file:///Y:/(17) 2026 HYTEK PROJECTS/CORAL HOMES/HG260001 LOT 289 (29) COORA CRESENT CURRIMUNDI/03 DETAILING/03 FRAMECAD DETAILER/01 XML OUTPUT/HG260001 LOT 289 COORA CRESCENT CURRIMUNDI 4551-GF-LBW-70.075.xml","HG260001 LOT 289 COORA CRESCENT CURRIMUNDI 4551-GF")</f>
        <v/>
      </c>
    </row>
    <row r="22" ht="22" customHeight="1">
      <c r="A22" s="2" t="n">
        <v>21</v>
      </c>
      <c r="B22" s="2" t="inlineStr">
        <is>
          <t>D</t>
        </is>
      </c>
      <c r="C22" s="2" t="inlineStr">
        <is>
          <t>Short top plate (T&lt;200mm)</t>
        </is>
      </c>
      <c r="D22" s="2" t="inlineStr">
        <is>
          <t>70mm</t>
        </is>
      </c>
      <c r="E22" s="2" t="inlineStr">
        <is>
          <t>Length&lt;200mm</t>
        </is>
      </c>
      <c r="F22" s="2" t="inlineStr">
        <is>
          <t>End InnerDimple at length-16.5</t>
        </is>
      </c>
      <c r="G22" s="3" t="inlineStr">
        <is>
          <t>Yes</t>
        </is>
      </c>
      <c r="H22" s="2" t="inlineStr"/>
      <c r="I22" s="2" t="inlineStr"/>
      <c r="J22" s="2" t="inlineStr"/>
      <c r="K22" s="2" t="inlineStr"/>
      <c r="L22" s="2" t="inlineStr">
        <is>
          <t>—</t>
        </is>
      </c>
      <c r="M22" s="2" t="inlineStr">
        <is>
          <t>—</t>
        </is>
      </c>
      <c r="N22" s="2" t="inlineStr"/>
      <c r="O22" s="2" t="inlineStr"/>
      <c r="P22" s="2" t="inlineStr"/>
      <c r="Q22" s="2" t="inlineStr"/>
      <c r="R22" s="2" t="inlineStr"/>
      <c r="S22" s="2" t="inlineStr"/>
      <c r="T22" s="2" t="inlineStr"/>
    </row>
    <row r="23" ht="22" customHeight="1">
      <c r="A23" s="2" t="n">
        <v>22</v>
      </c>
      <c r="B23" s="2" t="inlineStr">
        <is>
          <t>D</t>
        </is>
      </c>
      <c r="C23" s="2" t="inlineStr">
        <is>
          <t>Short top plate (T&lt;200mm)</t>
        </is>
      </c>
      <c r="D23" s="2" t="inlineStr">
        <is>
          <t>70mm</t>
        </is>
      </c>
      <c r="E23" s="2" t="inlineStr">
        <is>
          <t>Length&lt;200mm</t>
        </is>
      </c>
      <c r="F23" s="2" t="inlineStr">
        <is>
          <t>End InnerNotch span 39mm</t>
        </is>
      </c>
      <c r="G23" s="3" t="inlineStr">
        <is>
          <t>Yes</t>
        </is>
      </c>
      <c r="H23" s="2" t="inlineStr"/>
      <c r="I23" s="2" t="inlineStr"/>
      <c r="J23" s="2" t="inlineStr"/>
      <c r="K23" s="2" t="inlineStr"/>
      <c r="L23" s="2" t="inlineStr">
        <is>
          <t>—</t>
        </is>
      </c>
      <c r="M23" s="2" t="inlineStr">
        <is>
          <t>—</t>
        </is>
      </c>
      <c r="N23" s="2" t="inlineStr"/>
      <c r="O23" s="2" t="inlineStr"/>
      <c r="P23" s="2" t="inlineStr"/>
      <c r="Q23" s="2" t="inlineStr"/>
      <c r="R23" s="2" t="inlineStr"/>
      <c r="S23" s="2" t="inlineStr"/>
      <c r="T23" s="2" t="inlineStr"/>
    </row>
    <row r="24" ht="22" customHeight="1">
      <c r="A24" s="2" t="n">
        <v>23</v>
      </c>
      <c r="B24" s="2" t="inlineStr">
        <is>
          <t>D</t>
        </is>
      </c>
      <c r="C24" s="2" t="inlineStr">
        <is>
          <t>Short top plate (T&lt;200mm)</t>
        </is>
      </c>
      <c r="D24" s="2" t="inlineStr">
        <is>
          <t>70mm</t>
        </is>
      </c>
      <c r="E24" s="2" t="inlineStr">
        <is>
          <t>Length&lt;200mm</t>
        </is>
      </c>
      <c r="F24" s="2" t="inlineStr">
        <is>
          <t>End LipNotch span 39mm</t>
        </is>
      </c>
      <c r="G24" s="3" t="inlineStr">
        <is>
          <t>Yes</t>
        </is>
      </c>
      <c r="H24" s="2" t="inlineStr"/>
      <c r="I24" s="2" t="inlineStr"/>
      <c r="J24" s="2" t="inlineStr"/>
      <c r="K24" s="2" t="inlineStr"/>
      <c r="L24" s="2" t="inlineStr">
        <is>
          <t>—</t>
        </is>
      </c>
      <c r="M24" s="2" t="inlineStr">
        <is>
          <t>—</t>
        </is>
      </c>
      <c r="N24" s="2" t="inlineStr"/>
      <c r="O24" s="2" t="inlineStr"/>
      <c r="P24" s="2" t="inlineStr"/>
      <c r="Q24" s="2" t="inlineStr"/>
      <c r="R24" s="2" t="inlineStr"/>
      <c r="S24" s="2" t="inlineStr"/>
      <c r="T24" s="2" t="inlineStr"/>
    </row>
    <row r="25" ht="22" customHeight="1">
      <c r="A25" s="2" t="n">
        <v>24</v>
      </c>
      <c r="B25" s="2" t="inlineStr">
        <is>
          <t>E</t>
        </is>
      </c>
      <c r="C25" s="2" t="inlineStr">
        <is>
          <t>Long top plate (T&gt;=200mm)</t>
        </is>
      </c>
      <c r="D25" s="2" t="inlineStr">
        <is>
          <t>70mm</t>
        </is>
      </c>
      <c r="E25" s="2" t="inlineStr">
        <is>
          <t>Length&gt;=200mm</t>
        </is>
      </c>
      <c r="F25" s="2" t="inlineStr">
        <is>
          <t>Start LipNotch span 39mm</t>
        </is>
      </c>
      <c r="G25" s="3" t="inlineStr">
        <is>
          <t>Yes</t>
        </is>
      </c>
      <c r="H25" s="2" t="inlineStr"/>
      <c r="I25" s="2" t="inlineStr"/>
      <c r="J25" s="2" t="inlineStr"/>
      <c r="K25" s="2" t="inlineStr"/>
      <c r="L25" s="2" t="inlineStr">
        <is>
          <t>—</t>
        </is>
      </c>
      <c r="M25" s="2" t="inlineStr">
        <is>
          <t>—</t>
        </is>
      </c>
      <c r="N25" s="2" t="inlineStr"/>
      <c r="O25" s="2" t="inlineStr"/>
      <c r="P25" s="2" t="inlineStr"/>
      <c r="Q25" s="2" t="inlineStr"/>
      <c r="R25" s="2" t="inlineStr"/>
      <c r="S25" s="2" t="inlineStr"/>
      <c r="T25" s="2" t="inlineStr"/>
    </row>
    <row r="26" ht="22" customHeight="1">
      <c r="A26" s="2" t="n">
        <v>25</v>
      </c>
      <c r="B26" s="2" t="inlineStr">
        <is>
          <t>E</t>
        </is>
      </c>
      <c r="C26" s="2" t="inlineStr">
        <is>
          <t>Long top plate (T&gt;=200mm)</t>
        </is>
      </c>
      <c r="D26" s="2" t="inlineStr">
        <is>
          <t>70mm</t>
        </is>
      </c>
      <c r="E26" s="2" t="inlineStr">
        <is>
          <t>Length&gt;=200mm</t>
        </is>
      </c>
      <c r="F26" s="2" t="inlineStr">
        <is>
          <t>Start InnerDimple at 16.5</t>
        </is>
      </c>
      <c r="G26" s="3" t="inlineStr">
        <is>
          <t>Yes</t>
        </is>
      </c>
      <c r="H26" s="2" t="inlineStr"/>
      <c r="I26" s="2" t="inlineStr"/>
      <c r="J26" s="2" t="inlineStr"/>
      <c r="K26" s="2" t="inlineStr"/>
      <c r="L26" s="2" t="inlineStr">
        <is>
          <t>—</t>
        </is>
      </c>
      <c r="M26" s="2" t="inlineStr">
        <is>
          <t>—</t>
        </is>
      </c>
      <c r="N26" s="2" t="inlineStr"/>
      <c r="O26" s="2" t="inlineStr"/>
      <c r="P26" s="2" t="inlineStr"/>
      <c r="Q26" s="2" t="inlineStr"/>
      <c r="R26" s="2" t="inlineStr"/>
      <c r="S26" s="2" t="inlineStr"/>
      <c r="T26" s="2" t="inlineStr"/>
    </row>
    <row r="27" ht="22" customHeight="1">
      <c r="A27" s="2" t="n">
        <v>26</v>
      </c>
      <c r="B27" s="2" t="inlineStr">
        <is>
          <t>E</t>
        </is>
      </c>
      <c r="C27" s="2" t="inlineStr">
        <is>
          <t>Long top plate (T&gt;=200mm)</t>
        </is>
      </c>
      <c r="D27" s="2" t="inlineStr">
        <is>
          <t>70mm</t>
        </is>
      </c>
      <c r="E27" s="2" t="inlineStr">
        <is>
          <t>Length&gt;=200mm</t>
        </is>
      </c>
      <c r="F27" s="2" t="inlineStr">
        <is>
          <t>End LipNotch span 39mm</t>
        </is>
      </c>
      <c r="G27" s="3" t="inlineStr">
        <is>
          <t>Yes</t>
        </is>
      </c>
      <c r="H27" s="2" t="inlineStr"/>
      <c r="I27" s="2" t="inlineStr"/>
      <c r="J27" s="2" t="inlineStr"/>
      <c r="K27" s="2" t="inlineStr"/>
      <c r="L27" s="2" t="inlineStr">
        <is>
          <t>—</t>
        </is>
      </c>
      <c r="M27" s="2" t="inlineStr">
        <is>
          <t>—</t>
        </is>
      </c>
      <c r="N27" s="2" t="inlineStr"/>
      <c r="O27" s="2" t="inlineStr"/>
      <c r="P27" s="2" t="inlineStr"/>
      <c r="Q27" s="2" t="inlineStr"/>
      <c r="R27" s="2" t="inlineStr"/>
      <c r="S27" s="2" t="inlineStr"/>
      <c r="T27" s="2" t="inlineStr"/>
    </row>
    <row r="28" ht="22" customHeight="1">
      <c r="A28" s="2" t="n">
        <v>27</v>
      </c>
      <c r="B28" s="2" t="inlineStr">
        <is>
          <t>E</t>
        </is>
      </c>
      <c r="C28" s="2" t="inlineStr">
        <is>
          <t>Long top plate (T&gt;=200mm)</t>
        </is>
      </c>
      <c r="D28" s="2" t="inlineStr">
        <is>
          <t>70mm</t>
        </is>
      </c>
      <c r="E28" s="2" t="inlineStr">
        <is>
          <t>Length&gt;=200mm</t>
        </is>
      </c>
      <c r="F28" s="2" t="inlineStr">
        <is>
          <t>End InnerDimple at length-16.5</t>
        </is>
      </c>
      <c r="G28" s="3" t="inlineStr">
        <is>
          <t>Yes</t>
        </is>
      </c>
      <c r="H28" s="2" t="inlineStr"/>
      <c r="I28" s="2" t="inlineStr"/>
      <c r="J28" s="2" t="inlineStr"/>
      <c r="K28" s="2" t="inlineStr"/>
      <c r="L28" s="2" t="inlineStr">
        <is>
          <t>—</t>
        </is>
      </c>
      <c r="M28" s="2" t="inlineStr">
        <is>
          <t>—</t>
        </is>
      </c>
      <c r="N28" s="2" t="inlineStr"/>
      <c r="O28" s="2" t="inlineStr"/>
      <c r="P28" s="2" t="inlineStr"/>
      <c r="Q28" s="2" t="inlineStr"/>
      <c r="R28" s="2" t="inlineStr"/>
      <c r="S28" s="2" t="inlineStr"/>
      <c r="T28" s="2" t="inlineStr"/>
    </row>
    <row r="29" ht="247" customHeight="1">
      <c r="A29" s="2" t="n">
        <v>28</v>
      </c>
      <c r="B29" s="2" t="inlineStr">
        <is>
          <t>E</t>
        </is>
      </c>
      <c r="C29" s="2" t="inlineStr">
        <is>
          <t>Long top plate (T&gt;=200mm)</t>
        </is>
      </c>
      <c r="D29" s="2" t="inlineStr">
        <is>
          <t>70mm</t>
        </is>
      </c>
      <c r="E29" s="2" t="inlineStr">
        <is>
          <t>DELIBERATELY NOT EMITTED</t>
        </is>
      </c>
      <c r="F29" s="2" t="inlineStr">
        <is>
          <t>InnerNotch on long T plates</t>
        </is>
      </c>
      <c r="G29" s="8" t="inlineStr">
        <is>
          <t>No</t>
        </is>
      </c>
      <c r="H29" s="2" t="inlineStr"/>
      <c r="I29" s="5" t="inlineStr">
        <is>
          <t>MINED FROM 5,662 STICKS — overall 4.7% match
"Long T plate has InnerNotch"
By plan_type:
  NLBW                                13/1747  =   0.7%
  LBW                                 31/1385  =   2.2%
  RP                                 123/1115  =  11.0%
  TIN                                 88/726   =  12.1%
  TB2B                                 0/478   =   0.0%
By (plan_type, frame_type):
  NLBW/InternalWall                   13/1726  =   0.8%
  RP/RoofPanel                       123/1115  =  11.0%
  LBW/ExternalWall                    24/935   =   2.6%
  TIN/Truss                           87/721   =  12.1%
  TB2B/Truss                           0/478   =   0.0%</t>
        </is>
      </c>
      <c r="J29" s="6" t="inlineStr">
        <is>
          <t>HG260001
GF-LBW-70.075
frame PK4-L4
stick T1</t>
        </is>
      </c>
      <c r="K29" s="2" t="inlineStr">
        <is>
          <t>When SHOULD a long T plate get InnerNotch? At king-stud crossings only? Above openings? At plate joints?</t>
        </is>
      </c>
      <c r="L29" s="2" t="inlineStr">
        <is>
          <t>4,637 sticks / 277 pairs</t>
        </is>
      </c>
      <c r="M29" s="2" t="inlineStr">
        <is>
          <t>moderate</t>
        </is>
      </c>
      <c r="N29" s="2" t="inlineStr">
        <is>
          <t>WHAT WE EMIT: Nothing — InnerNotch on long top plates is DELIBERATELY DISABLED. Blind emission produced 100 extras vs only 12 matches.
WHAT DETAILER DOES: SOME long T plates DO get InnerNotches. We just haven't found the discriminator.
WHAT I NEED FROM YOU: When does a long T plate get an InnerNotch? At king-stud crossings only? Above openings? At plate joints?</t>
        </is>
      </c>
      <c r="O29" s="9" t="inlineStr">
        <is>
          <t xml:space="preserve">THE RULE SHOULD FIRE WHEN: 
THE VALUES ARE: 
IT SHOULD NOT FIRE WHEN: 
WHY (physical reason): </t>
        </is>
      </c>
      <c r="P29" s="7">
        <f>HYPERLINK("file:///C:/Users/Scott/CLAUDE CODE/hytek-rfy-codec/docs/rule-pdfs/rule-28.pdf","rule-28.pdf")</f>
        <v/>
      </c>
      <c r="Q29" s="7">
        <f>HYPERLINK("file:///Y:/(17) 2026 HYTEK PROJECTS/CORAL HOMES/HG260001 LOT 289 (29) COORA CRESENT CURRIMUNDI/06 MANUFACTURING/02 DRAWINGS MANUFACTURING/01 LGS/HG260001 LOT 289 COORA CRESCENT CURRIMUNDI 4551-GF-LBW-70.075.pdf","HG260001 LOT 289 COORA CRESCENT CURRIMUNDI 4551-GF")</f>
        <v/>
      </c>
      <c r="R29" s="7">
        <f>HYPERLINK("file:///Y:/(17) 2026 HYTEK PROJECTS/CORAL HOMES/HG260001 LOT 289 (29) COORA CRESENT CURRIMUNDI/01 PROJECT DOCUMENTATION/02 CURRENT DOCS/01 PDF/CONSTRUCTION DETAILS.pdf","CONSTRUCTION DETAILS.pdf")</f>
        <v/>
      </c>
      <c r="S29" s="7">
        <f>HYPERLINK("file:///Y:/(17) 2026 HYTEK PROJECTS/CORAL HOMES/HG260001 LOT 289 (29) COORA CRESENT CURRIMUNDI/03 DETAILING/03 FRAMECAD DETAILER/HG260001 LOT 289 (29) COORA CRESENT CURRIMUNDI.fcp","HG260001 LOT 289 (29) COORA CRESENT CURRIMUNDI.fcp")</f>
        <v/>
      </c>
      <c r="T29" s="7">
        <f>HYPERLINK("file:///Y:/(17) 2026 HYTEK PROJECTS/CORAL HOMES/HG260001 LOT 289 (29) COORA CRESENT CURRIMUNDI/03 DETAILING/03 FRAMECAD DETAILER/01 XML OUTPUT/HG260001 LOT 289 COORA CRESCENT CURRIMUNDI 4551-GF-LBW-70.075.xml","HG260001 LOT 289 COORA CRESCENT CURRIMUNDI 4551-GF")</f>
        <v/>
      </c>
    </row>
    <row r="30" ht="260" customHeight="1">
      <c r="A30" s="2" t="n">
        <v>29</v>
      </c>
      <c r="B30" s="2" t="inlineStr">
        <is>
          <t>E</t>
        </is>
      </c>
      <c r="C30" s="2" t="inlineStr">
        <is>
          <t>Long top plate (T&gt;=200mm)</t>
        </is>
      </c>
      <c r="D30" s="2" t="inlineStr">
        <is>
          <t>70mm</t>
        </is>
      </c>
      <c r="E30" s="2" t="inlineStr">
        <is>
          <t>DELIBERATELY NOT EMITTED</t>
        </is>
      </c>
      <c r="F30" s="2" t="inlineStr">
        <is>
          <t>InnerService holes on T plates</t>
        </is>
      </c>
      <c r="G30" s="4" t="inlineStr">
        <is>
          <t>Spec'd</t>
        </is>
      </c>
      <c r="H30" s="2" t="inlineStr">
        <is>
          <t>Detailer User Manual p.97 (Service Hole) — toggle applies to plates too
Same z-line projection rule applied to top plates. Existing post-decode block at scripts/diff-vs-detailer.mjs:642 already does this for T+N nogs — extend to all wall-plan T plates.</t>
        </is>
      </c>
      <c r="I30" s="5" t="inlineStr">
        <is>
          <t>MINED FROM 6,059 STICKS — overall 46.9% match
"Top plate has InnerService"
By plan_type:
  NLBW                              1603/1791  =  89.5%
  LBW                               1241/1648  =  75.3%
  RP                                   0/1154  =   0.0%
  TIN                                  0/766   =   0.0%
  TB2B                                 0/479   =   0.0%
By (plan_type, gauge):
  NLBW/0.75                         1594/1779  =  89.6%
  LBW/0.75                           874/1106  =  79.0%
  RP/0.75                              0/1071  =   0.0%
  LBW/0.95                           347/512   =  67.8%
  TIN/0.75                             0/396   =   0.0%</t>
        </is>
      </c>
      <c r="J30" s="6" t="inlineStr">
        <is>
          <t>HG260001
GF-LBW-70.075
frame PK4-L4
stick T1</t>
        </is>
      </c>
      <c r="K30" s="2" t="inlineStr">
        <is>
          <t>(see Source col)</t>
        </is>
      </c>
      <c r="L30" s="2" t="inlineStr">
        <is>
          <t>4,637 sticks / 277 pairs</t>
        </is>
      </c>
      <c r="M30" s="2" t="inlineStr">
        <is>
          <t>moderate</t>
        </is>
      </c>
      <c r="N30" s="2" t="inlineStr"/>
      <c r="O30" s="2" t="inlineStr"/>
      <c r="P30" s="7">
        <f>HYPERLINK("file:///C:/Users/Scott/CLAUDE CODE/hytek-rfy-codec/docs/rule-pdfs/rule-29.pdf","rule-29.pdf")</f>
        <v/>
      </c>
      <c r="Q30" s="7">
        <f>HYPERLINK("file:///Y:/(17) 2026 HYTEK PROJECTS/CORAL HOMES/HG260001 LOT 289 (29) COORA CRESENT CURRIMUNDI/06 MANUFACTURING/02 DRAWINGS MANUFACTURING/01 LGS/HG260001 LOT 289 COORA CRESCENT CURRIMUNDI 4551-GF-LBW-70.075.pdf","HG260001 LOT 289 COORA CRESCENT CURRIMUNDI 4551-GF")</f>
        <v/>
      </c>
      <c r="R30" s="7">
        <f>HYPERLINK("file:///Y:/(17) 2026 HYTEK PROJECTS/CORAL HOMES/HG260001 LOT 289 (29) COORA CRESENT CURRIMUNDI/01 PROJECT DOCUMENTATION/02 CURRENT DOCS/01 PDF/AC LAYOUT.pdf","AC LAYOUT.pdf")</f>
        <v/>
      </c>
      <c r="S30" s="7">
        <f>HYPERLINK("file:///Y:/(17) 2026 HYTEK PROJECTS/CORAL HOMES/HG260001 LOT 289 (29) COORA CRESENT CURRIMUNDI/03 DETAILING/03 FRAMECAD DETAILER/HG260001 LOT 289 (29) COORA CRESENT CURRIMUNDI.fcp","HG260001 LOT 289 (29) COORA CRESENT CURRIMUNDI.fcp")</f>
        <v/>
      </c>
      <c r="T30" s="7">
        <f>HYPERLINK("file:///Y:/(17) 2026 HYTEK PROJECTS/CORAL HOMES/HG260001 LOT 289 (29) COORA CRESENT CURRIMUNDI/03 DETAILING/03 FRAMECAD DETAILER/01 XML OUTPUT/HG260001 LOT 289 COORA CRESCENT CURRIMUNDI 4551-GF-LBW-70.075.xml","HG260001 LOT 289 COORA CRESCENT CURRIMUNDI 4551-GF")</f>
        <v/>
      </c>
    </row>
    <row r="31" ht="140" customHeight="1">
      <c r="A31" s="2" t="n">
        <v>30</v>
      </c>
      <c r="B31" s="2" t="inlineStr">
        <is>
          <t>E</t>
        </is>
      </c>
      <c r="C31" s="2" t="inlineStr">
        <is>
          <t>Long top plate (T&gt;=200mm)</t>
        </is>
      </c>
      <c r="D31" s="2" t="inlineStr">
        <is>
          <t>89mm</t>
        </is>
      </c>
      <c r="E31" s="2" t="inlineStr">
        <is>
          <t>Length&gt;=200mm</t>
        </is>
      </c>
      <c r="F31" s="2" t="inlineStr">
        <is>
          <t>Same 4-op pattern as 70mm</t>
        </is>
      </c>
      <c r="G31" s="8" t="inlineStr">
        <is>
          <t>No</t>
        </is>
      </c>
      <c r="H31" s="2" t="inlineStr"/>
      <c r="I31" s="2" t="inlineStr"/>
      <c r="J31" s="6" t="inlineStr">
        <is>
          <t>HG260012
TH01-GF-LBW-89.075
frame L1101
stick T1</t>
        </is>
      </c>
      <c r="K31" s="2" t="inlineStr">
        <is>
          <t>Do 89mm long T plates match 70mm pattern?</t>
        </is>
      </c>
      <c r="L31" s="2" t="inlineStr">
        <is>
          <t>1,041 sticks / 102 pairs</t>
        </is>
      </c>
      <c r="M31" s="2" t="inlineStr">
        <is>
          <t>small</t>
        </is>
      </c>
      <c r="N31" s="2" t="inlineStr">
        <is>
          <t>Same shape as rule 8 — 89mm long T plates use the 70mm pattern. Confirm or correct.</t>
        </is>
      </c>
      <c r="O31" s="9" t="inlineStr">
        <is>
          <t xml:space="preserve">THE RULE SHOULD FIRE WHEN: 
THE VALUES ARE: 
IT SHOULD NOT FIRE WHEN: 
WHY (physical reason): </t>
        </is>
      </c>
      <c r="P31" s="7">
        <f>HYPERLINK("file:///C:/Users/Scott/CLAUDE CODE/hytek-rfy-codec/docs/rule-pdfs/rule-30.pdf","rule-30.pdf")</f>
        <v/>
      </c>
      <c r="Q31" s="7">
        <f>HYPERLINK("file:///Y:/(17) 2026 HYTEK PROJECTS/AKAM CONSTRUCTIONS/HG260012 23 SPRINGWOOD ST TOWNHOUSES/06 MANUFACTURING/02 DRAWINGS MANUFACTURING/01 LGS/TH01-02/HG260012 [Akam] 23 Springwood Street -TH01-02-TH01-GF-LBW-89.075.pdf","HG260012 [Akam] 23 Springwood Street -TH01-02-TH01")</f>
        <v/>
      </c>
      <c r="R31" s="7">
        <f>HYPERLINK("file:///Y:/(17) 2026 HYTEK PROJECTS/AKAM CONSTRUCTIONS/HG260012 23 SPRINGWOOD ST TOWNHOUSES/01 PROJECT DOCUMENTATION/02 CURRENT DOCS/01 PDF/188. 23 Springwood St - Issue For Construction plan set.pdf","188. 23 Springwood St - Issue For Construction pla")</f>
        <v/>
      </c>
      <c r="S31" s="7">
        <f>HYPERLINK("file:///Y:/(17) 2026 HYTEK PROJECTS/AKAM CONSTRUCTIONS/HG260012 23 SPRINGWOOD ST TOWNHOUSES/03 DETAILING/03 FRAMECAD DETAILER/HG260012 [Akam] 23 Springwood Street -TH01-02.fcp","HG260012 [Akam] 23 Springwood Street -TH01-02.fcp")</f>
        <v/>
      </c>
      <c r="T31" s="7">
        <f>HYPERLINK("file:///Y:/(17) 2026 HYTEK PROJECTS/AKAM CONSTRUCTIONS/HG260012 23 SPRINGWOOD ST TOWNHOUSES/03 DETAILING/03 FRAMECAD DETAILER/01 XML OUTPUT/HG260012 [Akam] 23 Springwood Street -TH01-02-TH01-GF-LBW-89.075.xml","HG260012 [Akam] 23 Springwood Street -TH01-02-TH01")</f>
        <v/>
      </c>
    </row>
    <row r="32" ht="22" customHeight="1">
      <c r="A32" s="2" t="n">
        <v>31</v>
      </c>
      <c r="B32" s="2" t="inlineStr">
        <is>
          <t>F</t>
        </is>
      </c>
      <c r="C32" s="2" t="inlineStr">
        <is>
          <t>Bottom plate (B, Bp)</t>
        </is>
      </c>
      <c r="D32" s="2" t="inlineStr">
        <is>
          <t>70mm</t>
        </is>
      </c>
      <c r="E32" s="2" t="inlineStr">
        <is>
          <t>Always</t>
        </is>
      </c>
      <c r="F32" s="2" t="inlineStr">
        <is>
          <t>Start LipNotch span 39mm</t>
        </is>
      </c>
      <c r="G32" s="3" t="inlineStr">
        <is>
          <t>Yes</t>
        </is>
      </c>
      <c r="H32" s="2" t="inlineStr"/>
      <c r="I32" s="2" t="inlineStr"/>
      <c r="J32" s="2" t="inlineStr"/>
      <c r="K32" s="2" t="inlineStr"/>
      <c r="L32" s="2" t="inlineStr">
        <is>
          <t>—</t>
        </is>
      </c>
      <c r="M32" s="2" t="inlineStr">
        <is>
          <t>—</t>
        </is>
      </c>
      <c r="N32" s="2" t="inlineStr"/>
      <c r="O32" s="2" t="inlineStr"/>
      <c r="P32" s="2" t="inlineStr"/>
      <c r="Q32" s="2" t="inlineStr"/>
      <c r="R32" s="2" t="inlineStr"/>
      <c r="S32" s="2" t="inlineStr"/>
      <c r="T32" s="2" t="inlineStr"/>
    </row>
    <row r="33" ht="260" customHeight="1">
      <c r="A33" s="2" t="n">
        <v>32</v>
      </c>
      <c r="B33" s="2" t="inlineStr">
        <is>
          <t>F</t>
        </is>
      </c>
      <c r="C33" s="2" t="inlineStr">
        <is>
          <t>Bottom plate (B, Bp)</t>
        </is>
      </c>
      <c r="D33" s="2" t="inlineStr">
        <is>
          <t>70mm</t>
        </is>
      </c>
      <c r="E33" s="2" t="inlineStr">
        <is>
          <t>Primary B + GF + LBW/NLBW</t>
        </is>
      </c>
      <c r="F33" s="2" t="inlineStr">
        <is>
          <t>Start Web hole at 8mm (slab wiring)</t>
        </is>
      </c>
      <c r="G33" s="4" t="inlineStr">
        <is>
          <t>Spec'd</t>
        </is>
      </c>
      <c r="H33" s="2" t="inlineStr">
        <is>
          <t>Detailer User Manual p.97 (Bottom Plate Bolt Holes)
MANUAL: 'Bottom Plate Bolt Holes — Turns bottom plate bolt holes on or off. If your machine doesn't have a bolt hole, but has a web hole, a web hole will be placed instead of a bolt hole.' This is a PER-FRAME toggle. Wall frames have it ON; truss/joist frames have it OFF. Web@8 vs Bolt@62 are the same op served by different tools (machine-dependent).</t>
        </is>
      </c>
      <c r="I33" s="5" t="inlineStr">
        <is>
          <t>MINED FROM 7,110 STICKS — overall 52.6% match
"B plate has Web@8 OR Bolt@62 (slab anchor)"
By plan_type:
  NLBW                              2145/2688  =  79.8%
  LBW                               1591/2012  =  79.1%
  RP                                   0/1187  =   0.0%
  TIN                                  1/552   =   0.2%
  TB2B                                 0/294   =   0.0%
By (plan_type, frame_type):
  NLBW/InternalWall                 2124/2665  =  79.7%
  LBW/ExternalWall                  1026/1263  =  81.2%
  RP/RoofPanel                         0/1187  =   0.0%
  LBW/InternalWall                   565/749   =  75.4%
  TIN/Truss                            1/549   =   0.2%</t>
        </is>
      </c>
      <c r="J33" s="6" t="inlineStr">
        <is>
          <t>HG260001
GF-LBW-70.075
frame PK1-N1
stick B1</t>
        </is>
      </c>
      <c r="K33" s="2" t="inlineStr">
        <is>
          <t>(see Source col)</t>
        </is>
      </c>
      <c r="L33" s="2" t="inlineStr">
        <is>
          <t>3,360 sticks / 94 pairs</t>
        </is>
      </c>
      <c r="M33" s="2" t="inlineStr">
        <is>
          <t>moderate</t>
        </is>
      </c>
      <c r="N33" s="2" t="inlineStr"/>
      <c r="O33" s="2" t="inlineStr"/>
      <c r="P33" s="7">
        <f>HYPERLINK("file:///C:/Users/Scott/CLAUDE CODE/hytek-rfy-codec/docs/rule-pdfs/rule-32.pdf","rule-32.pdf")</f>
        <v/>
      </c>
      <c r="Q33" s="7">
        <f>HYPERLINK("file:///Y:/(17) 2026 HYTEK PROJECTS/CORAL HOMES/HG260001 LOT 289 (29) COORA CRESENT CURRIMUNDI/06 MANUFACTURING/02 DRAWINGS MANUFACTURING/01 LGS/HG260001 LOT 289 COORA CRESCENT CURRIMUNDI 4551-GF-LBW-70.075.pdf","HG260001 LOT 289 COORA CRESCENT CURRIMUNDI 4551-GF")</f>
        <v/>
      </c>
      <c r="R33" s="7">
        <f>HYPERLINK("file:///Y:/(17) 2026 HYTEK PROJECTS/CORAL HOMES/HG260001 LOT 289 (29) COORA CRESENT CURRIMUNDI/01 PROJECT DOCUMENTATION/02 CURRENT DOCS/01 PDF/SLAB DESIGN.pdf","SLAB DESIGN.pdf")</f>
        <v/>
      </c>
      <c r="S33" s="7">
        <f>HYPERLINK("file:///Y:/(17) 2026 HYTEK PROJECTS/CORAL HOMES/HG260001 LOT 289 (29) COORA CRESENT CURRIMUNDI/03 DETAILING/03 FRAMECAD DETAILER/HG260001 LOT 289 (29) COORA CRESENT CURRIMUNDI.fcp","HG260001 LOT 289 (29) COORA CRESENT CURRIMUNDI.fcp")</f>
        <v/>
      </c>
      <c r="T33" s="7">
        <f>HYPERLINK("file:///Y:/(17) 2026 HYTEK PROJECTS/CORAL HOMES/HG260001 LOT 289 (29) COORA CRESENT CURRIMUNDI/03 DETAILING/03 FRAMECAD DETAILER/01 XML OUTPUT/HG260001 LOT 289 COORA CRESCENT CURRIMUNDI 4551-GF-LBW-70.075.xml","HG260001 LOT 289 COORA CRESCENT CURRIMUNDI 4551-GF")</f>
        <v/>
      </c>
    </row>
    <row r="34" ht="22" customHeight="1">
      <c r="A34" s="2" t="n">
        <v>33</v>
      </c>
      <c r="B34" s="2" t="inlineStr">
        <is>
          <t>F</t>
        </is>
      </c>
      <c r="C34" s="2" t="inlineStr">
        <is>
          <t>Bottom plate (B, Bp)</t>
        </is>
      </c>
      <c r="D34" s="2" t="inlineStr">
        <is>
          <t>70mm</t>
        </is>
      </c>
      <c r="E34" s="2" t="inlineStr">
        <is>
          <t>Always</t>
        </is>
      </c>
      <c r="F34" s="2" t="inlineStr">
        <is>
          <t>Start InnerDimple at 16.5</t>
        </is>
      </c>
      <c r="G34" s="3" t="inlineStr">
        <is>
          <t>Yes</t>
        </is>
      </c>
      <c r="H34" s="2" t="inlineStr"/>
      <c r="I34" s="2" t="inlineStr"/>
      <c r="J34" s="2" t="inlineStr"/>
      <c r="K34" s="2" t="inlineStr"/>
      <c r="L34" s="2" t="inlineStr">
        <is>
          <t>—</t>
        </is>
      </c>
      <c r="M34" s="2" t="inlineStr">
        <is>
          <t>—</t>
        </is>
      </c>
      <c r="N34" s="2" t="inlineStr"/>
      <c r="O34" s="2" t="inlineStr"/>
      <c r="P34" s="2" t="inlineStr"/>
      <c r="Q34" s="2" t="inlineStr"/>
      <c r="R34" s="2" t="inlineStr"/>
      <c r="S34" s="2" t="inlineStr"/>
      <c r="T34" s="2" t="inlineStr"/>
    </row>
    <row r="35" ht="260" customHeight="1">
      <c r="A35" s="2" t="n">
        <v>34</v>
      </c>
      <c r="B35" s="2" t="inlineStr">
        <is>
          <t>F</t>
        </is>
      </c>
      <c r="C35" s="2" t="inlineStr">
        <is>
          <t>Bottom plate (B, Bp)</t>
        </is>
      </c>
      <c r="D35" s="2" t="inlineStr">
        <is>
          <t>70mm</t>
        </is>
      </c>
      <c r="E35" s="2" t="inlineStr">
        <is>
          <t>Same gates as rule 32</t>
        </is>
      </c>
      <c r="F35" s="2" t="inlineStr">
        <is>
          <t>Start Bolt at 62mm (slab anchor)</t>
        </is>
      </c>
      <c r="G35" s="4" t="inlineStr">
        <is>
          <t>Spec'd</t>
        </is>
      </c>
      <c r="H35" s="2" t="inlineStr">
        <is>
          <t>Detailer User Manual p.97 (Bottom Plate Bolt Holes)
Same per-frame toggle as rule 32. Bolt position = setup.boltHoleToEnd (= 20 in setup, but HYTEK uses 62 — likely a HYTEK construction-detail override applied at frame creation). Per-frame bolt placement settings live in the frame's XML attributes.</t>
        </is>
      </c>
      <c r="I35" s="5" t="inlineStr">
        <is>
          <t>MINED FROM 7,110 STICKS — overall 52.6% match
"B plate has Web@8 OR Bolt@62 (slab anchor)"
By plan_type:
  NLBW                              2145/2688  =  79.8%
  LBW                               1591/2012  =  79.1%
  RP                                   0/1187  =   0.0%
  TIN                                  1/552   =   0.2%
  TB2B                                 0/294   =   0.0%
By (plan_type, frame_type):
  NLBW/InternalWall                 2124/2665  =  79.7%
  LBW/ExternalWall                  1026/1263  =  81.2%
  RP/RoofPanel                         0/1187  =   0.0%
  LBW/InternalWall                   565/749   =  75.4%
  TIN/Truss                            1/549   =   0.2%</t>
        </is>
      </c>
      <c r="J35" s="6" t="inlineStr">
        <is>
          <t>HG260001
GF-LBW-70.075
frame PK1-N1
stick B1</t>
        </is>
      </c>
      <c r="K35" s="2" t="inlineStr">
        <is>
          <t>(see Source col)</t>
        </is>
      </c>
      <c r="L35" s="2" t="inlineStr">
        <is>
          <t>3,360 sticks / 94 pairs</t>
        </is>
      </c>
      <c r="M35" s="2" t="inlineStr">
        <is>
          <t>moderate</t>
        </is>
      </c>
      <c r="N35" s="2" t="inlineStr"/>
      <c r="O35" s="2" t="inlineStr"/>
      <c r="P35" s="7">
        <f>HYPERLINK("file:///C:/Users/Scott/CLAUDE CODE/hytek-rfy-codec/docs/rule-pdfs/rule-34.pdf","rule-34.pdf")</f>
        <v/>
      </c>
      <c r="Q35" s="7">
        <f>HYPERLINK("file:///Y:/(17) 2026 HYTEK PROJECTS/CORAL HOMES/HG260001 LOT 289 (29) COORA CRESENT CURRIMUNDI/06 MANUFACTURING/02 DRAWINGS MANUFACTURING/01 LGS/HG260001 LOT 289 COORA CRESCENT CURRIMUNDI 4551-GF-LBW-70.075.pdf","HG260001 LOT 289 COORA CRESCENT CURRIMUNDI 4551-GF")</f>
        <v/>
      </c>
      <c r="R35" s="7">
        <f>HYPERLINK("file:///Y:/(17) 2026 HYTEK PROJECTS/CORAL HOMES/HG260001 LOT 289 (29) COORA CRESENT CURRIMUNDI/01 PROJECT DOCUMENTATION/02 CURRENT DOCS/01 PDF/SLAB DESIGN.pdf","SLAB DESIGN.pdf")</f>
        <v/>
      </c>
      <c r="S35" s="7">
        <f>HYPERLINK("file:///Y:/(17) 2026 HYTEK PROJECTS/CORAL HOMES/HG260001 LOT 289 (29) COORA CRESENT CURRIMUNDI/03 DETAILING/03 FRAMECAD DETAILER/HG260001 LOT 289 (29) COORA CRESENT CURRIMUNDI.fcp","HG260001 LOT 289 (29) COORA CRESENT CURRIMUNDI.fcp")</f>
        <v/>
      </c>
      <c r="T35" s="7">
        <f>HYPERLINK("file:///Y:/(17) 2026 HYTEK PROJECTS/CORAL HOMES/HG260001 LOT 289 (29) COORA CRESENT CURRIMUNDI/03 DETAILING/03 FRAMECAD DETAILER/01 XML OUTPUT/HG260001 LOT 289 COORA CRESCENT CURRIMUNDI 4551-GF-LBW-70.075.xml","HG260001 LOT 289 COORA CRESCENT CURRIMUNDI 4551-GF")</f>
        <v/>
      </c>
    </row>
    <row r="36" ht="22" customHeight="1">
      <c r="A36" s="2" t="n">
        <v>35</v>
      </c>
      <c r="B36" s="2" t="inlineStr">
        <is>
          <t>F</t>
        </is>
      </c>
      <c r="C36" s="2" t="inlineStr">
        <is>
          <t>Bottom plate (B, Bp)</t>
        </is>
      </c>
      <c r="D36" s="2" t="inlineStr">
        <is>
          <t>70mm</t>
        </is>
      </c>
      <c r="E36" s="2" t="inlineStr">
        <is>
          <t>Always</t>
        </is>
      </c>
      <c r="F36" s="2" t="inlineStr">
        <is>
          <t>End LipNotch span 39mm</t>
        </is>
      </c>
      <c r="G36" s="3" t="inlineStr">
        <is>
          <t>Yes</t>
        </is>
      </c>
      <c r="H36" s="2" t="inlineStr"/>
      <c r="I36" s="2" t="inlineStr"/>
      <c r="J36" s="2" t="inlineStr"/>
      <c r="K36" s="2" t="inlineStr"/>
      <c r="L36" s="2" t="inlineStr">
        <is>
          <t>—</t>
        </is>
      </c>
      <c r="M36" s="2" t="inlineStr">
        <is>
          <t>—</t>
        </is>
      </c>
      <c r="N36" s="2" t="inlineStr"/>
      <c r="O36" s="2" t="inlineStr"/>
      <c r="P36" s="2" t="inlineStr"/>
      <c r="Q36" s="2" t="inlineStr"/>
      <c r="R36" s="2" t="inlineStr"/>
      <c r="S36" s="2" t="inlineStr"/>
      <c r="T36" s="2" t="inlineStr"/>
    </row>
    <row r="37" ht="252" customHeight="1">
      <c r="A37" s="2" t="n">
        <v>36</v>
      </c>
      <c r="B37" s="2" t="inlineStr">
        <is>
          <t>F</t>
        </is>
      </c>
      <c r="C37" s="2" t="inlineStr">
        <is>
          <t>Bottom plate (B, Bp)</t>
        </is>
      </c>
      <c r="D37" s="2" t="inlineStr">
        <is>
          <t>70mm</t>
        </is>
      </c>
      <c r="E37" s="2" t="inlineStr">
        <is>
          <t>Same gates as rule 32</t>
        </is>
      </c>
      <c r="F37" s="2" t="inlineStr">
        <is>
          <t>End Bolt at length-62</t>
        </is>
      </c>
      <c r="G37" s="4" t="inlineStr">
        <is>
          <t>Spec'd</t>
        </is>
      </c>
      <c r="H37" s="2" t="inlineStr">
        <is>
          <t>Detailer User Manual p.97 (Bottom Plate Bolt Holes)
Mirror of rule 34 at the end of the plate.</t>
        </is>
      </c>
      <c r="I37" s="5" t="inlineStr">
        <is>
          <t>MINED FROM 7,110 STICKS — overall 52.6% match
"B plate has Web@8 OR Bolt@62 (slab anchor)"
By plan_type:
  NLBW                              2145/2688  =  79.8%
  LBW                               1591/2012  =  79.1%
  RP                                   0/1187  =   0.0%
  TIN                                  1/552   =   0.2%
  TB2B                                 0/294   =   0.0%
By (plan_type, frame_type):
  NLBW/InternalWall                 2124/2665  =  79.7%
  LBW/ExternalWall                  1026/1263  =  81.2%
  RP/RoofPanel                         0/1187  =   0.0%
  LBW/InternalWall                   565/749   =  75.4%
  TIN/Truss                            1/549   =   0.2%</t>
        </is>
      </c>
      <c r="J37" s="6" t="inlineStr">
        <is>
          <t>HG260001
GF-LBW-70.075
frame PK1-N1
stick B1</t>
        </is>
      </c>
      <c r="K37" s="2" t="inlineStr">
        <is>
          <t>(see Source col)</t>
        </is>
      </c>
      <c r="L37" s="2" t="inlineStr">
        <is>
          <t>3,360 sticks / 94 pairs</t>
        </is>
      </c>
      <c r="M37" s="2" t="inlineStr">
        <is>
          <t>moderate</t>
        </is>
      </c>
      <c r="N37" s="2" t="inlineStr"/>
      <c r="O37" s="2" t="inlineStr"/>
      <c r="P37" s="7">
        <f>HYPERLINK("file:///C:/Users/Scott/CLAUDE CODE/hytek-rfy-codec/docs/rule-pdfs/rule-36.pdf","rule-36.pdf")</f>
        <v/>
      </c>
      <c r="Q37" s="7">
        <f>HYPERLINK("file:///Y:/(17) 2026 HYTEK PROJECTS/CORAL HOMES/HG260001 LOT 289 (29) COORA CRESENT CURRIMUNDI/06 MANUFACTURING/02 DRAWINGS MANUFACTURING/01 LGS/HG260001 LOT 289 COORA CRESCENT CURRIMUNDI 4551-GF-LBW-70.075.pdf","HG260001 LOT 289 COORA CRESCENT CURRIMUNDI 4551-GF")</f>
        <v/>
      </c>
      <c r="R37" s="7">
        <f>HYPERLINK("file:///Y:/(17) 2026 HYTEK PROJECTS/CORAL HOMES/HG260001 LOT 289 (29) COORA CRESENT CURRIMUNDI/01 PROJECT DOCUMENTATION/02 CURRENT DOCS/01 PDF/SLAB DESIGN.pdf","SLAB DESIGN.pdf")</f>
        <v/>
      </c>
      <c r="S37" s="7">
        <f>HYPERLINK("file:///Y:/(17) 2026 HYTEK PROJECTS/CORAL HOMES/HG260001 LOT 289 (29) COORA CRESENT CURRIMUNDI/03 DETAILING/03 FRAMECAD DETAILER/HG260001 LOT 289 (29) COORA CRESENT CURRIMUNDI.fcp","HG260001 LOT 289 (29) COORA CRESENT CURRIMUNDI.fcp")</f>
        <v/>
      </c>
      <c r="T37" s="7">
        <f>HYPERLINK("file:///Y:/(17) 2026 HYTEK PROJECTS/CORAL HOMES/HG260001 LOT 289 (29) COORA CRESENT CURRIMUNDI/03 DETAILING/03 FRAMECAD DETAILER/01 XML OUTPUT/HG260001 LOT 289 COORA CRESCENT CURRIMUNDI 4551-GF-LBW-70.075.xml","HG260001 LOT 289 COORA CRESCENT CURRIMUNDI 4551-GF")</f>
        <v/>
      </c>
    </row>
    <row r="38" ht="22" customHeight="1">
      <c r="A38" s="2" t="n">
        <v>37</v>
      </c>
      <c r="B38" s="2" t="inlineStr">
        <is>
          <t>F</t>
        </is>
      </c>
      <c r="C38" s="2" t="inlineStr">
        <is>
          <t>Bottom plate (B, Bp)</t>
        </is>
      </c>
      <c r="D38" s="2" t="inlineStr">
        <is>
          <t>70mm</t>
        </is>
      </c>
      <c r="E38" s="2" t="inlineStr">
        <is>
          <t>Always</t>
        </is>
      </c>
      <c r="F38" s="2" t="inlineStr">
        <is>
          <t>End InnerDimple at length-16.5</t>
        </is>
      </c>
      <c r="G38" s="3" t="inlineStr">
        <is>
          <t>Yes</t>
        </is>
      </c>
      <c r="H38" s="2" t="inlineStr"/>
      <c r="I38" s="2" t="inlineStr"/>
      <c r="J38" s="2" t="inlineStr"/>
      <c r="K38" s="2" t="inlineStr"/>
      <c r="L38" s="2" t="inlineStr">
        <is>
          <t>—</t>
        </is>
      </c>
      <c r="M38" s="2" t="inlineStr">
        <is>
          <t>—</t>
        </is>
      </c>
      <c r="N38" s="2" t="inlineStr"/>
      <c r="O38" s="2" t="inlineStr"/>
      <c r="P38" s="2" t="inlineStr"/>
      <c r="Q38" s="2" t="inlineStr"/>
      <c r="R38" s="2" t="inlineStr"/>
      <c r="S38" s="2" t="inlineStr"/>
      <c r="T38" s="2" t="inlineStr"/>
    </row>
    <row r="39" ht="260" customHeight="1">
      <c r="A39" s="2" t="n">
        <v>38</v>
      </c>
      <c r="B39" s="2" t="inlineStr">
        <is>
          <t>F</t>
        </is>
      </c>
      <c r="C39" s="2" t="inlineStr">
        <is>
          <t>Bottom plate (B, Bp)</t>
        </is>
      </c>
      <c r="D39" s="2" t="inlineStr">
        <is>
          <t>89mm</t>
        </is>
      </c>
      <c r="E39" s="2" t="inlineStr">
        <is>
          <t>Same gates as rule 32 + gauge&lt;1.0</t>
        </is>
      </c>
      <c r="F39" s="2" t="inlineStr">
        <is>
          <t>Slab anchor pattern (Web@8 + Bolts@62)</t>
        </is>
      </c>
      <c r="G39" s="4" t="inlineStr">
        <is>
          <t>Spec'd</t>
        </is>
      </c>
      <c r="H39" s="2" t="inlineStr">
        <is>
          <t>Detailer User Manual p.97 + machine-setups.ts: gauge-conditional behaviour
Same toggle as rule 32. The gauge&lt;1.0 gate may come from a Section Setup override on thicker steel.</t>
        </is>
      </c>
      <c r="I39" s="5" t="inlineStr">
        <is>
          <t>MINED FROM 7,110 STICKS — overall 52.6% match
"B plate has Web@8 OR Bolt@62 (slab anchor)"
By plan_type:
  NLBW                              2145/2688  =  79.8%
  LBW                               1591/2012  =  79.1%
  RP                                   0/1187  =   0.0%
  TIN                                  1/552   =   0.2%
  TB2B                                 0/294   =   0.0%
By (plan_type, frame_type):
  NLBW/InternalWall                 2124/2665  =  79.7%
  LBW/ExternalWall                  1026/1263  =  81.2%
  RP/RoofPanel                         0/1187  =   0.0%
  LBW/InternalWall                   565/749   =  75.4%
  TIN/Truss                            1/549   =   0.2%</t>
        </is>
      </c>
      <c r="J39" s="6" t="inlineStr">
        <is>
          <t>HG250082
GF-NLBW-89.075
frame N3
stick B2</t>
        </is>
      </c>
      <c r="K39" s="2" t="inlineStr">
        <is>
          <t>(see Source col)</t>
        </is>
      </c>
      <c r="L39" s="2" t="inlineStr">
        <is>
          <t>1,282 sticks / 75 pairs</t>
        </is>
      </c>
      <c r="M39" s="2" t="inlineStr">
        <is>
          <t>small</t>
        </is>
      </c>
      <c r="N39" s="2" t="inlineStr"/>
      <c r="O39" s="2" t="inlineStr"/>
      <c r="P39" s="7">
        <f>HYPERLINK("file:///C:/Users/Scott/CLAUDE CODE/hytek-rfy-codec/docs/rule-pdfs/rule-38.pdf","rule-38.pdf")</f>
        <v/>
      </c>
      <c r="Q39" s="7">
        <f>HYPERLINK("file:///Y:/(14) 2025 HYTEK PROJECTS/ROHRIG/HG250082 FLAGSTONE OSHC/06 MANUFACTURING/06 REWORK/250082-001 TOILET WALLS/02 LAYOUTS/HG250082 FLAGSTONE OSHC LGS TOILET PARTITIONS-AMENITIES-GF-NLBW-89.075.pdf","HG250082 FLAGSTONE OSHC LGS TOILET PARTITIONS-AMEN")</f>
        <v/>
      </c>
      <c r="R39" s="2" t="inlineStr"/>
      <c r="S39" s="7">
        <f>HYPERLINK("file:///Y:/(14) 2025 HYTEK PROJECTS/ROHRIG/HG250082 FLAGSTONE OSHC/03 DETAILING/03 FRAMECAD DETAILER/HG250082 FLAGSTONE OSH.fcp","HG250082 FLAGSTONE OSH.fcp")</f>
        <v/>
      </c>
      <c r="T39" s="7">
        <f>HYPERLINK("file:///Y:/(14) 2025 HYTEK PROJECTS/ROHRIG/HG250082 FLAGSTONE OSHC/03 DETAILING/03 FRAMECAD DETAILER/01 XML OUTPUT/HG250082 FLAGSTONE OSHC LGS_Rev2-GF-NLBW-89.075.xml","HG250082 FLAGSTONE OSHC LGS_Rev2-GF-NLBW-89.075.xm")</f>
        <v/>
      </c>
    </row>
    <row r="40" ht="22" customHeight="1">
      <c r="A40" s="2" t="n">
        <v>39</v>
      </c>
      <c r="B40" s="2" t="inlineStr">
        <is>
          <t>G</t>
        </is>
      </c>
      <c r="C40" s="2" t="inlineStr">
        <is>
          <t>Raised B plate (Bh)</t>
        </is>
      </c>
      <c r="D40" s="2" t="inlineStr">
        <is>
          <t>70mm</t>
        </is>
      </c>
      <c r="E40" s="2" t="inlineStr">
        <is>
          <t>Always</t>
        </is>
      </c>
      <c r="F40" s="2" t="inlineStr">
        <is>
          <t>Start InnerNotch span 39mm</t>
        </is>
      </c>
      <c r="G40" s="3" t="inlineStr">
        <is>
          <t>Yes</t>
        </is>
      </c>
      <c r="H40" s="2" t="inlineStr"/>
      <c r="I40" s="2" t="inlineStr"/>
      <c r="J40" s="2" t="inlineStr"/>
      <c r="K40" s="2" t="inlineStr"/>
      <c r="L40" s="2" t="inlineStr">
        <is>
          <t>—</t>
        </is>
      </c>
      <c r="M40" s="2" t="inlineStr">
        <is>
          <t>—</t>
        </is>
      </c>
      <c r="N40" s="2" t="inlineStr"/>
      <c r="O40" s="2" t="inlineStr"/>
      <c r="P40" s="2" t="inlineStr"/>
      <c r="Q40" s="2" t="inlineStr"/>
      <c r="R40" s="2" t="inlineStr"/>
      <c r="S40" s="2" t="inlineStr"/>
      <c r="T40" s="2" t="inlineStr"/>
    </row>
    <row r="41" ht="22" customHeight="1">
      <c r="A41" s="2" t="n">
        <v>40</v>
      </c>
      <c r="B41" s="2" t="inlineStr">
        <is>
          <t>G</t>
        </is>
      </c>
      <c r="C41" s="2" t="inlineStr">
        <is>
          <t>Raised B plate (Bh)</t>
        </is>
      </c>
      <c r="D41" s="2" t="inlineStr">
        <is>
          <t>70mm</t>
        </is>
      </c>
      <c r="E41" s="2" t="inlineStr">
        <is>
          <t>Always</t>
        </is>
      </c>
      <c r="F41" s="2" t="inlineStr">
        <is>
          <t>Start LipNotch span 39mm</t>
        </is>
      </c>
      <c r="G41" s="3" t="inlineStr">
        <is>
          <t>Yes</t>
        </is>
      </c>
      <c r="H41" s="2" t="inlineStr"/>
      <c r="I41" s="2" t="inlineStr"/>
      <c r="J41" s="2" t="inlineStr"/>
      <c r="K41" s="2" t="inlineStr"/>
      <c r="L41" s="2" t="inlineStr">
        <is>
          <t>—</t>
        </is>
      </c>
      <c r="M41" s="2" t="inlineStr">
        <is>
          <t>—</t>
        </is>
      </c>
      <c r="N41" s="2" t="inlineStr"/>
      <c r="O41" s="2" t="inlineStr"/>
      <c r="P41" s="2" t="inlineStr"/>
      <c r="Q41" s="2" t="inlineStr"/>
      <c r="R41" s="2" t="inlineStr"/>
      <c r="S41" s="2" t="inlineStr"/>
      <c r="T41" s="2" t="inlineStr"/>
    </row>
    <row r="42" ht="22" customHeight="1">
      <c r="A42" s="2" t="n">
        <v>41</v>
      </c>
      <c r="B42" s="2" t="inlineStr">
        <is>
          <t>G</t>
        </is>
      </c>
      <c r="C42" s="2" t="inlineStr">
        <is>
          <t>Raised B plate (Bh)</t>
        </is>
      </c>
      <c r="D42" s="2" t="inlineStr">
        <is>
          <t>70mm</t>
        </is>
      </c>
      <c r="E42" s="2" t="inlineStr">
        <is>
          <t>Always</t>
        </is>
      </c>
      <c r="F42" s="2" t="inlineStr">
        <is>
          <t>Start InnerDimple at 16.5</t>
        </is>
      </c>
      <c r="G42" s="3" t="inlineStr">
        <is>
          <t>Yes</t>
        </is>
      </c>
      <c r="H42" s="2" t="inlineStr"/>
      <c r="I42" s="2" t="inlineStr"/>
      <c r="J42" s="2" t="inlineStr"/>
      <c r="K42" s="2" t="inlineStr"/>
      <c r="L42" s="2" t="inlineStr">
        <is>
          <t>—</t>
        </is>
      </c>
      <c r="M42" s="2" t="inlineStr">
        <is>
          <t>—</t>
        </is>
      </c>
      <c r="N42" s="2" t="inlineStr"/>
      <c r="O42" s="2" t="inlineStr"/>
      <c r="P42" s="2" t="inlineStr"/>
      <c r="Q42" s="2" t="inlineStr"/>
      <c r="R42" s="2" t="inlineStr"/>
      <c r="S42" s="2" t="inlineStr"/>
      <c r="T42" s="2" t="inlineStr"/>
    </row>
    <row r="43" ht="98" customHeight="1">
      <c r="A43" s="2" t="n">
        <v>42</v>
      </c>
      <c r="B43" s="2" t="inlineStr">
        <is>
          <t>G</t>
        </is>
      </c>
      <c r="C43" s="2" t="inlineStr">
        <is>
          <t>Raised B plate (Bh)</t>
        </is>
      </c>
      <c r="D43" s="2" t="inlineStr">
        <is>
          <t>70mm</t>
        </is>
      </c>
      <c r="E43" s="2" t="inlineStr">
        <is>
          <t>NLBW only</t>
        </is>
      </c>
      <c r="F43" s="2" t="inlineStr">
        <is>
          <t>Start Web@8 + Bolt@62 (slab anchor on raised B)</t>
        </is>
      </c>
      <c r="G43" s="4" t="inlineStr">
        <is>
          <t>Spec'd</t>
        </is>
      </c>
      <c r="H43" s="2" t="inlineStr">
        <is>
          <t>Detailer User Manual p.97 (Bottom Plate Bolt Holes)
Same per-frame toggle as rule 32 — applies to raised B plates too. NLBW vs LBW frame-type difference: NLBW frames have it set to ON for the rough-opening sill (the raised Bh acts as a slab plate); LBW raised Bh is structurally tied through the king-stud chain instead.</t>
        </is>
      </c>
      <c r="I43" s="5" t="inlineStr">
        <is>
          <t>MINED FROM 0 STICKS — overall 0% match
"Raised Bh has slab anchor (Web@8 / Bolt@62)"</t>
        </is>
      </c>
      <c r="J43" s="6" t="inlineStr">
        <is>
          <t>HG260001
GF-NLBW-70.075
frame PK1-N14
stick B1</t>
        </is>
      </c>
      <c r="K43" s="2" t="inlineStr">
        <is>
          <t>(see Source col)</t>
        </is>
      </c>
      <c r="L43" s="2" t="inlineStr">
        <is>
          <t>0 sticks / 0 pairs</t>
        </is>
      </c>
      <c r="M43" s="2" t="inlineStr">
        <is>
          <t>small</t>
        </is>
      </c>
      <c r="N43" s="2" t="inlineStr"/>
      <c r="O43" s="2" t="inlineStr"/>
      <c r="P43" s="7">
        <f>HYPERLINK("file:///C:/Users/Scott/CLAUDE CODE/hytek-rfy-codec/docs/rule-pdfs/rule-42.pdf","rule-42.pdf")</f>
        <v/>
      </c>
      <c r="Q43" s="7">
        <f>HYPERLINK("file:///Y:/(17) 2026 HYTEK PROJECTS/CORAL HOMES/HG260001 LOT 289 (29) COORA CRESENT CURRIMUNDI/06 MANUFACTURING/02 DRAWINGS MANUFACTURING/01 LGS/HG260001 LOT 289 COORA CRESCENT CURRIMUNDI 4551-GF-NLBW-70.075.pdf","HG260001 LOT 289 COORA CRESCENT CURRIMUNDI 4551-GF")</f>
        <v/>
      </c>
      <c r="R43" s="7">
        <f>HYPERLINK("file:///Y:/(17) 2026 HYTEK PROJECTS/CORAL HOMES/HG260001 LOT 289 (29) COORA CRESENT CURRIMUNDI/01 PROJECT DOCUMENTATION/02 CURRENT DOCS/01 PDF/SLAB DESIGN.pdf","SLAB DESIGN.pdf")</f>
        <v/>
      </c>
      <c r="S43" s="7">
        <f>HYPERLINK("file:///Y:/(17) 2026 HYTEK PROJECTS/CORAL HOMES/HG260001 LOT 289 (29) COORA CRESENT CURRIMUNDI/03 DETAILING/03 FRAMECAD DETAILER/HG260001 LOT 289 (29) COORA CRESENT CURRIMUNDI.fcp","HG260001 LOT 289 (29) COORA CRESENT CURRIMUNDI.fcp")</f>
        <v/>
      </c>
      <c r="T43" s="7">
        <f>HYPERLINK("file:///Y:/(17) 2026 HYTEK PROJECTS/CORAL HOMES/HG260001 LOT 289 (29) COORA CRESENT CURRIMUNDI/03 DETAILING/03 FRAMECAD DETAILER/01 XML OUTPUT/HG260001 LOT 289 COORA CRESCENT CURRIMUNDI 4551-GF-NLBW-70.075.xml","HG260001 LOT 289 COORA CRESCENT CURRIMUNDI 4551-GF")</f>
        <v/>
      </c>
    </row>
    <row r="44" ht="80" customHeight="1">
      <c r="A44" s="2" t="n">
        <v>43</v>
      </c>
      <c r="B44" s="2" t="inlineStr">
        <is>
          <t>G</t>
        </is>
      </c>
      <c r="C44" s="2" t="inlineStr">
        <is>
          <t>Raised B plate (Bh)</t>
        </is>
      </c>
      <c r="D44" s="2" t="inlineStr">
        <is>
          <t>70mm</t>
        </is>
      </c>
      <c r="E44" s="2" t="inlineStr">
        <is>
          <t>NLBW only</t>
        </is>
      </c>
      <c r="F44" s="2" t="inlineStr">
        <is>
          <t>End Bolt at length-62</t>
        </is>
      </c>
      <c r="G44" s="4" t="inlineStr">
        <is>
          <t>Spec'd</t>
        </is>
      </c>
      <c r="H44" s="2" t="inlineStr">
        <is>
          <t>Detailer User Manual p.97
Mirror of rule 42 at the end.</t>
        </is>
      </c>
      <c r="I44" s="5" t="inlineStr">
        <is>
          <t>MINED FROM 0 STICKS — overall 0% match
"Raised Bh has slab anchor (Web@8 / Bolt@62)"</t>
        </is>
      </c>
      <c r="J44" s="6" t="inlineStr">
        <is>
          <t>HG260001
GF-NLBW-70.075
frame PK1-N14
stick B1</t>
        </is>
      </c>
      <c r="K44" s="2" t="inlineStr">
        <is>
          <t>(see Source col)</t>
        </is>
      </c>
      <c r="L44" s="2" t="inlineStr">
        <is>
          <t>0 sticks / 0 pairs</t>
        </is>
      </c>
      <c r="M44" s="2" t="inlineStr">
        <is>
          <t>small</t>
        </is>
      </c>
      <c r="N44" s="2" t="inlineStr"/>
      <c r="O44" s="2" t="inlineStr"/>
      <c r="P44" s="7">
        <f>HYPERLINK("file:///C:/Users/Scott/CLAUDE CODE/hytek-rfy-codec/docs/rule-pdfs/rule-43.pdf","rule-43.pdf")</f>
        <v/>
      </c>
      <c r="Q44" s="7">
        <f>HYPERLINK("file:///Y:/(17) 2026 HYTEK PROJECTS/CORAL HOMES/HG260001 LOT 289 (29) COORA CRESENT CURRIMUNDI/06 MANUFACTURING/02 DRAWINGS MANUFACTURING/01 LGS/HG260001 LOT 289 COORA CRESCENT CURRIMUNDI 4551-GF-NLBW-70.075.pdf","HG260001 LOT 289 COORA CRESCENT CURRIMUNDI 4551-GF")</f>
        <v/>
      </c>
      <c r="R44" s="7">
        <f>HYPERLINK("file:///Y:/(17) 2026 HYTEK PROJECTS/CORAL HOMES/HG260001 LOT 289 (29) COORA CRESENT CURRIMUNDI/01 PROJECT DOCUMENTATION/02 CURRENT DOCS/01 PDF/SLAB DESIGN.pdf","SLAB DESIGN.pdf")</f>
        <v/>
      </c>
      <c r="S44" s="7">
        <f>HYPERLINK("file:///Y:/(17) 2026 HYTEK PROJECTS/CORAL HOMES/HG260001 LOT 289 (29) COORA CRESENT CURRIMUNDI/03 DETAILING/03 FRAMECAD DETAILER/HG260001 LOT 289 (29) COORA CRESENT CURRIMUNDI.fcp","HG260001 LOT 289 (29) COORA CRESENT CURRIMUNDI.fcp")</f>
        <v/>
      </c>
      <c r="T44" s="7">
        <f>HYPERLINK("file:///Y:/(17) 2026 HYTEK PROJECTS/CORAL HOMES/HG260001 LOT 289 (29) COORA CRESENT CURRIMUNDI/03 DETAILING/03 FRAMECAD DETAILER/01 XML OUTPUT/HG260001 LOT 289 COORA CRESCENT CURRIMUNDI 4551-GF-NLBW-70.075.xml","HG260001 LOT 289 COORA CRESCENT CURRIMUNDI 4551-GF")</f>
        <v/>
      </c>
    </row>
    <row r="45" ht="22" customHeight="1">
      <c r="A45" s="2" t="n">
        <v>44</v>
      </c>
      <c r="B45" s="2" t="inlineStr">
        <is>
          <t>G</t>
        </is>
      </c>
      <c r="C45" s="2" t="inlineStr">
        <is>
          <t>Raised B plate (Bh)</t>
        </is>
      </c>
      <c r="D45" s="2" t="inlineStr">
        <is>
          <t>70mm</t>
        </is>
      </c>
      <c r="E45" s="2" t="inlineStr">
        <is>
          <t>Always</t>
        </is>
      </c>
      <c r="F45" s="2" t="inlineStr">
        <is>
          <t>End InnerDimple at length-16.5</t>
        </is>
      </c>
      <c r="G45" s="3" t="inlineStr">
        <is>
          <t>Yes</t>
        </is>
      </c>
      <c r="H45" s="2" t="inlineStr"/>
      <c r="I45" s="2" t="inlineStr"/>
      <c r="J45" s="2" t="inlineStr"/>
      <c r="K45" s="2" t="inlineStr"/>
      <c r="L45" s="2" t="inlineStr">
        <is>
          <t>—</t>
        </is>
      </c>
      <c r="M45" s="2" t="inlineStr">
        <is>
          <t>—</t>
        </is>
      </c>
      <c r="N45" s="2" t="inlineStr"/>
      <c r="O45" s="2" t="inlineStr"/>
      <c r="P45" s="2" t="inlineStr"/>
      <c r="Q45" s="2" t="inlineStr"/>
      <c r="R45" s="2" t="inlineStr"/>
      <c r="S45" s="2" t="inlineStr"/>
      <c r="T45" s="2" t="inlineStr"/>
    </row>
    <row r="46" ht="22" customHeight="1">
      <c r="A46" s="2" t="n">
        <v>45</v>
      </c>
      <c r="B46" s="2" t="inlineStr">
        <is>
          <t>G</t>
        </is>
      </c>
      <c r="C46" s="2" t="inlineStr">
        <is>
          <t>Raised B plate (Bh)</t>
        </is>
      </c>
      <c r="D46" s="2" t="inlineStr">
        <is>
          <t>70mm</t>
        </is>
      </c>
      <c r="E46" s="2" t="inlineStr">
        <is>
          <t>Always</t>
        </is>
      </c>
      <c r="F46" s="2" t="inlineStr">
        <is>
          <t>End InnerNotch span 39mm</t>
        </is>
      </c>
      <c r="G46" s="3" t="inlineStr">
        <is>
          <t>Yes</t>
        </is>
      </c>
      <c r="H46" s="2" t="inlineStr"/>
      <c r="I46" s="2" t="inlineStr"/>
      <c r="J46" s="2" t="inlineStr"/>
      <c r="K46" s="2" t="inlineStr"/>
      <c r="L46" s="2" t="inlineStr">
        <is>
          <t>—</t>
        </is>
      </c>
      <c r="M46" s="2" t="inlineStr">
        <is>
          <t>—</t>
        </is>
      </c>
      <c r="N46" s="2" t="inlineStr"/>
      <c r="O46" s="2" t="inlineStr"/>
      <c r="P46" s="2" t="inlineStr"/>
      <c r="Q46" s="2" t="inlineStr"/>
      <c r="R46" s="2" t="inlineStr"/>
      <c r="S46" s="2" t="inlineStr"/>
      <c r="T46" s="2" t="inlineStr"/>
    </row>
    <row r="47" ht="22" customHeight="1">
      <c r="A47" s="2" t="n">
        <v>46</v>
      </c>
      <c r="B47" s="2" t="inlineStr">
        <is>
          <t>G</t>
        </is>
      </c>
      <c r="C47" s="2" t="inlineStr">
        <is>
          <t>Raised B plate (Bh)</t>
        </is>
      </c>
      <c r="D47" s="2" t="inlineStr">
        <is>
          <t>70mm</t>
        </is>
      </c>
      <c r="E47" s="2" t="inlineStr">
        <is>
          <t>Always</t>
        </is>
      </c>
      <c r="F47" s="2" t="inlineStr">
        <is>
          <t>End LipNotch span 39mm</t>
        </is>
      </c>
      <c r="G47" s="3" t="inlineStr">
        <is>
          <t>Yes</t>
        </is>
      </c>
      <c r="H47" s="2" t="inlineStr"/>
      <c r="I47" s="2" t="inlineStr"/>
      <c r="J47" s="2" t="inlineStr"/>
      <c r="K47" s="2" t="inlineStr"/>
      <c r="L47" s="2" t="inlineStr">
        <is>
          <t>—</t>
        </is>
      </c>
      <c r="M47" s="2" t="inlineStr">
        <is>
          <t>—</t>
        </is>
      </c>
      <c r="N47" s="2" t="inlineStr"/>
      <c r="O47" s="2" t="inlineStr"/>
      <c r="P47" s="2" t="inlineStr"/>
      <c r="Q47" s="2" t="inlineStr"/>
      <c r="R47" s="2" t="inlineStr"/>
      <c r="S47" s="2" t="inlineStr"/>
      <c r="T47" s="2" t="inlineStr"/>
    </row>
    <row r="48" ht="22" customHeight="1">
      <c r="A48" s="2" t="n">
        <v>47</v>
      </c>
      <c r="B48" s="2" t="inlineStr">
        <is>
          <t>G</t>
        </is>
      </c>
      <c r="C48" s="2" t="inlineStr">
        <is>
          <t>Raised B plate (Bh)</t>
        </is>
      </c>
      <c r="D48" s="2" t="inlineStr">
        <is>
          <t>89mm</t>
        </is>
      </c>
      <c r="E48" s="2" t="inlineStr">
        <is>
          <t>Always</t>
        </is>
      </c>
      <c r="F48" s="2" t="inlineStr">
        <is>
          <t>Header-style caps both ends, NO Web/Bolt</t>
        </is>
      </c>
      <c r="G48" s="3" t="inlineStr">
        <is>
          <t>Yes</t>
        </is>
      </c>
      <c r="H48" s="2" t="inlineStr"/>
      <c r="I48" s="2" t="inlineStr"/>
      <c r="J48" s="2" t="inlineStr"/>
      <c r="K48" s="2" t="inlineStr"/>
      <c r="L48" s="2" t="inlineStr">
        <is>
          <t>—</t>
        </is>
      </c>
      <c r="M48" s="2" t="inlineStr">
        <is>
          <t>—</t>
        </is>
      </c>
      <c r="N48" s="2" t="inlineStr"/>
      <c r="O48" s="2" t="inlineStr"/>
      <c r="P48" s="2" t="inlineStr"/>
      <c r="Q48" s="2" t="inlineStr"/>
      <c r="R48" s="2" t="inlineStr"/>
      <c r="S48" s="2" t="inlineStr"/>
      <c r="T48" s="2" t="inlineStr"/>
    </row>
    <row r="49" ht="22" customHeight="1">
      <c r="A49" s="2" t="n">
        <v>48</v>
      </c>
      <c r="B49" s="2" t="inlineStr">
        <is>
          <t>H</t>
        </is>
      </c>
      <c r="C49" s="2" t="inlineStr">
        <is>
          <t>Nogs (N) — door-head cripple</t>
        </is>
      </c>
      <c r="D49" s="2" t="inlineStr">
        <is>
          <t>70mm</t>
        </is>
      </c>
      <c r="E49" s="2" t="inlineStr">
        <is>
          <t>Length 162-168mm</t>
        </is>
      </c>
      <c r="F49" s="2" t="inlineStr">
        <is>
          <t>InnerNotch + LipNotch caps + Dimple@16.5 BOTH ends</t>
        </is>
      </c>
      <c r="G49" s="3" t="inlineStr">
        <is>
          <t>Yes</t>
        </is>
      </c>
      <c r="H49" s="2" t="inlineStr"/>
      <c r="I49" s="2" t="inlineStr"/>
      <c r="J49" s="2" t="inlineStr"/>
      <c r="K49" s="2" t="inlineStr"/>
      <c r="L49" s="2" t="inlineStr">
        <is>
          <t>—</t>
        </is>
      </c>
      <c r="M49" s="2" t="inlineStr">
        <is>
          <t>—</t>
        </is>
      </c>
      <c r="N49" s="2" t="inlineStr"/>
      <c r="O49" s="2" t="inlineStr"/>
      <c r="P49" s="2" t="inlineStr"/>
      <c r="Q49" s="2" t="inlineStr"/>
      <c r="R49" s="2" t="inlineStr"/>
      <c r="S49" s="2" t="inlineStr"/>
      <c r="T49" s="2" t="inlineStr"/>
    </row>
    <row r="50" ht="22" customHeight="1">
      <c r="A50" s="2" t="n">
        <v>49</v>
      </c>
      <c r="B50" s="2" t="inlineStr">
        <is>
          <t>H</t>
        </is>
      </c>
      <c r="C50" s="2" t="inlineStr">
        <is>
          <t>Nogs (N) — all other lengths</t>
        </is>
      </c>
      <c r="D50" s="2" t="inlineStr">
        <is>
          <t>70mm</t>
        </is>
      </c>
      <c r="E50" s="2" t="inlineStr">
        <is>
          <t>Length NOT in 162-168mm</t>
        </is>
      </c>
      <c r="F50" s="2" t="inlineStr">
        <is>
          <t>Swage caps + Dimple@16.5 BOTH ends</t>
        </is>
      </c>
      <c r="G50" s="3" t="inlineStr">
        <is>
          <t>Yes</t>
        </is>
      </c>
      <c r="H50" s="2" t="inlineStr"/>
      <c r="I50" s="2" t="inlineStr"/>
      <c r="J50" s="2" t="inlineStr"/>
      <c r="K50" s="2" t="inlineStr"/>
      <c r="L50" s="2" t="inlineStr">
        <is>
          <t>—</t>
        </is>
      </c>
      <c r="M50" s="2" t="inlineStr">
        <is>
          <t>—</t>
        </is>
      </c>
      <c r="N50" s="2" t="inlineStr"/>
      <c r="O50" s="2" t="inlineStr"/>
      <c r="P50" s="2" t="inlineStr"/>
      <c r="Q50" s="2" t="inlineStr"/>
      <c r="R50" s="2" t="inlineStr"/>
      <c r="S50" s="2" t="inlineStr"/>
      <c r="T50" s="2" t="inlineStr"/>
    </row>
    <row r="51" ht="224" customHeight="1">
      <c r="A51" s="2" t="n">
        <v>50</v>
      </c>
      <c r="B51" s="2" t="inlineStr">
        <is>
          <t>H</t>
        </is>
      </c>
      <c r="C51" s="2" t="inlineStr">
        <is>
          <t>Nogs (N)</t>
        </is>
      </c>
      <c r="D51" s="2" t="inlineStr">
        <is>
          <t>89mm</t>
        </is>
      </c>
      <c r="E51" s="2" t="inlineStr">
        <is>
          <t>Always (length-bucketed)</t>
        </is>
      </c>
      <c r="F51" s="2" t="inlineStr">
        <is>
          <t>Same pattern as 70mm with 89mm constants</t>
        </is>
      </c>
      <c r="G51" s="4" t="inlineStr">
        <is>
          <t>Spec'd</t>
        </is>
      </c>
      <c r="H51" s="2" t="inlineStr">
        <is>
          <t>machine-setups.ts: setup 6 (89mm) constants
Confirmed mirror of 70mm rule. Empirical match 90.3% across 1885 89mm nogs. Already implemented.</t>
        </is>
      </c>
      <c r="I51" s="5" t="inlineStr">
        <is>
          <t>MINED FROM 1,885 STICKS — overall 90.3% match
"89mm nog: short-bucket has Notch caps OR long has Swage caps (right pattern?)"
By plan_type:
  LBW                               1018/1124  =  90.6%
  NLBW                               563/639   =  88.1%
  RP                                  72/72    = 100.0%
  CP                                  50/50    = 100.0%
By stick_profile:
  89S41_0.75                        1352/1511  =  89.5%
  89S41_0.95                         225/239   =  94.1%
  89S41_1.15                         126/135   =  93.3%</t>
        </is>
      </c>
      <c r="J51" s="6" t="inlineStr">
        <is>
          <t>HG260012
TH01-GF-LBW-89.075
frame L1001
stick N1</t>
        </is>
      </c>
      <c r="K51" s="2" t="inlineStr">
        <is>
          <t>(see Source col)</t>
        </is>
      </c>
      <c r="L51" s="2" t="inlineStr">
        <is>
          <t>1,885 sticks / 83 pairs</t>
        </is>
      </c>
      <c r="M51" s="2" t="inlineStr">
        <is>
          <t>small</t>
        </is>
      </c>
      <c r="N51" s="2" t="inlineStr"/>
      <c r="O51" s="2" t="inlineStr"/>
      <c r="P51" s="7">
        <f>HYPERLINK("file:///C:/Users/Scott/CLAUDE CODE/hytek-rfy-codec/docs/rule-pdfs/rule-50.pdf","rule-50.pdf")</f>
        <v/>
      </c>
      <c r="Q51" s="7">
        <f>HYPERLINK("file:///Y:/(17) 2026 HYTEK PROJECTS/AKAM CONSTRUCTIONS/HG260012 23 SPRINGWOOD ST TOWNHOUSES/06 MANUFACTURING/02 DRAWINGS MANUFACTURING/01 LGS/TH01-02/HG260012 [Akam] 23 Springwood Street -TH01-02-TH01-GF-LBW-89.075.pdf","HG260012 [Akam] 23 Springwood Street -TH01-02-TH01")</f>
        <v/>
      </c>
      <c r="R51" s="7">
        <f>HYPERLINK("file:///Y:/(17) 2026 HYTEK PROJECTS/AKAM CONSTRUCTIONS/HG260012 23 SPRINGWOOD ST TOWNHOUSES/01 PROJECT DOCUMENTATION/02 CURRENT DOCS/01 PDF/188. 23 Springwood St - Issue For Construction plan set.pdf","188. 23 Springwood St - Issue For Construction pla")</f>
        <v/>
      </c>
      <c r="S51" s="7">
        <f>HYPERLINK("file:///Y:/(17) 2026 HYTEK PROJECTS/AKAM CONSTRUCTIONS/HG260012 23 SPRINGWOOD ST TOWNHOUSES/03 DETAILING/03 FRAMECAD DETAILER/HG260012 [Akam] 23 Springwood Street -TH01-02.fcp","HG260012 [Akam] 23 Springwood Street -TH01-02.fcp")</f>
        <v/>
      </c>
      <c r="T51" s="7">
        <f>HYPERLINK("file:///Y:/(17) 2026 HYTEK PROJECTS/AKAM CONSTRUCTIONS/HG260012 23 SPRINGWOOD ST TOWNHOUSES/03 DETAILING/03 FRAMECAD DETAILER/01 XML OUTPUT/HG260012 [Akam] 23 Springwood Street -TH01-02-TH01-GF-LBW-89.075.xml","HG260012 [Akam] 23 Springwood Street -TH01-02-TH01")</f>
        <v/>
      </c>
    </row>
    <row r="52" ht="22" customHeight="1">
      <c r="A52" s="2" t="n">
        <v>51</v>
      </c>
      <c r="B52" s="2" t="inlineStr">
        <is>
          <t>I</t>
        </is>
      </c>
      <c r="C52" s="2" t="inlineStr">
        <is>
          <t>Header (H — full)</t>
        </is>
      </c>
      <c r="D52" s="2" t="inlineStr">
        <is>
          <t>70mm</t>
        </is>
      </c>
      <c r="E52" s="2" t="inlineStr">
        <is>
          <t>Always</t>
        </is>
      </c>
      <c r="F52" s="2" t="inlineStr">
        <is>
          <t>Start InnerNotch span 39mm</t>
        </is>
      </c>
      <c r="G52" s="3" t="inlineStr">
        <is>
          <t>Yes</t>
        </is>
      </c>
      <c r="H52" s="2" t="inlineStr"/>
      <c r="I52" s="2" t="inlineStr"/>
      <c r="J52" s="2" t="inlineStr"/>
      <c r="K52" s="2" t="inlineStr"/>
      <c r="L52" s="2" t="inlineStr">
        <is>
          <t>—</t>
        </is>
      </c>
      <c r="M52" s="2" t="inlineStr">
        <is>
          <t>—</t>
        </is>
      </c>
      <c r="N52" s="2" t="inlineStr"/>
      <c r="O52" s="2" t="inlineStr"/>
      <c r="P52" s="2" t="inlineStr"/>
      <c r="Q52" s="2" t="inlineStr"/>
      <c r="R52" s="2" t="inlineStr"/>
      <c r="S52" s="2" t="inlineStr"/>
      <c r="T52" s="2" t="inlineStr"/>
    </row>
    <row r="53" ht="22" customHeight="1">
      <c r="A53" s="2" t="n">
        <v>52</v>
      </c>
      <c r="B53" s="2" t="inlineStr">
        <is>
          <t>I</t>
        </is>
      </c>
      <c r="C53" s="2" t="inlineStr">
        <is>
          <t>Header (H — full)</t>
        </is>
      </c>
      <c r="D53" s="2" t="inlineStr">
        <is>
          <t>70mm</t>
        </is>
      </c>
      <c r="E53" s="2" t="inlineStr">
        <is>
          <t>Always</t>
        </is>
      </c>
      <c r="F53" s="2" t="inlineStr">
        <is>
          <t>Start LipNotch span 39mm</t>
        </is>
      </c>
      <c r="G53" s="3" t="inlineStr">
        <is>
          <t>Yes</t>
        </is>
      </c>
      <c r="H53" s="2" t="inlineStr"/>
      <c r="I53" s="2" t="inlineStr"/>
      <c r="J53" s="2" t="inlineStr"/>
      <c r="K53" s="2" t="inlineStr"/>
      <c r="L53" s="2" t="inlineStr">
        <is>
          <t>—</t>
        </is>
      </c>
      <c r="M53" s="2" t="inlineStr">
        <is>
          <t>—</t>
        </is>
      </c>
      <c r="N53" s="2" t="inlineStr"/>
      <c r="O53" s="2" t="inlineStr"/>
      <c r="P53" s="2" t="inlineStr"/>
      <c r="Q53" s="2" t="inlineStr"/>
      <c r="R53" s="2" t="inlineStr"/>
      <c r="S53" s="2" t="inlineStr"/>
      <c r="T53" s="2" t="inlineStr"/>
    </row>
    <row r="54" ht="22" customHeight="1">
      <c r="A54" s="2" t="n">
        <v>53</v>
      </c>
      <c r="B54" s="2" t="inlineStr">
        <is>
          <t>I</t>
        </is>
      </c>
      <c r="C54" s="2" t="inlineStr">
        <is>
          <t>Header (H — full)</t>
        </is>
      </c>
      <c r="D54" s="2" t="inlineStr">
        <is>
          <t>70mm</t>
        </is>
      </c>
      <c r="E54" s="2" t="inlineStr">
        <is>
          <t>Always</t>
        </is>
      </c>
      <c r="F54" s="2" t="inlineStr">
        <is>
          <t>Start InnerDimple at 16.5</t>
        </is>
      </c>
      <c r="G54" s="3" t="inlineStr">
        <is>
          <t>Yes</t>
        </is>
      </c>
      <c r="H54" s="2" t="inlineStr"/>
      <c r="I54" s="2" t="inlineStr"/>
      <c r="J54" s="2" t="inlineStr"/>
      <c r="K54" s="2" t="inlineStr"/>
      <c r="L54" s="2" t="inlineStr">
        <is>
          <t>—</t>
        </is>
      </c>
      <c r="M54" s="2" t="inlineStr">
        <is>
          <t>—</t>
        </is>
      </c>
      <c r="N54" s="2" t="inlineStr"/>
      <c r="O54" s="2" t="inlineStr"/>
      <c r="P54" s="2" t="inlineStr"/>
      <c r="Q54" s="2" t="inlineStr"/>
      <c r="R54" s="2" t="inlineStr"/>
      <c r="S54" s="2" t="inlineStr"/>
      <c r="T54" s="2" t="inlineStr"/>
    </row>
    <row r="55" ht="252" customHeight="1">
      <c r="A55" s="2" t="n">
        <v>54</v>
      </c>
      <c r="B55" s="2" t="inlineStr">
        <is>
          <t>I</t>
        </is>
      </c>
      <c r="C55" s="2" t="inlineStr">
        <is>
          <t>Header (H — full)</t>
        </is>
      </c>
      <c r="D55" s="2" t="inlineStr">
        <is>
          <t>70mm</t>
        </is>
      </c>
      <c r="E55" s="2" t="inlineStr">
        <is>
          <t>LBW only</t>
        </is>
      </c>
      <c r="F55" s="2" t="inlineStr">
        <is>
          <t>Start InnerDimple at 58.5 (paired)</t>
        </is>
      </c>
      <c r="G55" s="4" t="inlineStr">
        <is>
          <t>Spec'd</t>
        </is>
      </c>
      <c r="H55" s="2" t="inlineStr">
        <is>
          <t>Detailer User Manual p.100 (Head Split) + Triple Stud Connections (p.101)
PAIRED dimple at 58.5 corresponds to a TRIPLE STUD CONNECTION fixing point on a load-bearing header. 'Head Split' divides the head horizontally — the split header has 2 fixing points (16.5 + 58.5). Empirical: 71.5% LBW vs 1.7% NLBW.</t>
        </is>
      </c>
      <c r="I55" s="5" t="inlineStr">
        <is>
          <t>MINED FROM 1,465 STICKS — overall 49.7% match
"Header @58.5 paired dimple — does Detailer emit it?"
By plan_type:
  LBW                                720/1007  =  71.5%
  NLBW                                 8/458   =   1.7%
By (plan_type, gauge):
  LBW/0.75                           446/599   =  74.5%
  NLBW/0.75                            8/448   =   1.8%
  LBW/0.95                           240/351   =  68.4%
  LBW/1.15                            34/57    =  59.6%
  NLBW/0.95                            0/10    =   0.0%</t>
        </is>
      </c>
      <c r="J55" s="6" t="inlineStr">
        <is>
          <t>HG260001
GF-LBW-70.075
frame PK4-L4
stick H1</t>
        </is>
      </c>
      <c r="K55" s="2" t="inlineStr">
        <is>
          <t>(see Source col)</t>
        </is>
      </c>
      <c r="L55" s="2" t="inlineStr">
        <is>
          <t>933 sticks / 80 pairs</t>
        </is>
      </c>
      <c r="M55" s="2" t="inlineStr">
        <is>
          <t>small</t>
        </is>
      </c>
      <c r="N55" s="2" t="inlineStr"/>
      <c r="O55" s="2" t="inlineStr"/>
      <c r="P55" s="7">
        <f>HYPERLINK("file:///C:/Users/Scott/CLAUDE CODE/hytek-rfy-codec/docs/rule-pdfs/rule-54.pdf","rule-54.pdf")</f>
        <v/>
      </c>
      <c r="Q55" s="7">
        <f>HYPERLINK("file:///Y:/(17) 2026 HYTEK PROJECTS/CORAL HOMES/HG260001 LOT 289 (29) COORA CRESENT CURRIMUNDI/06 MANUFACTURING/02 DRAWINGS MANUFACTURING/01 LGS/HG260001 LOT 289 COORA CRESCENT CURRIMUNDI 4551-GF-LBW-70.075.pdf","HG260001 LOT 289 COORA CRESCENT CURRIMUNDI 4551-GF")</f>
        <v/>
      </c>
      <c r="R55" s="7">
        <f>HYPERLINK("file:///Y:/(17) 2026 HYTEK PROJECTS/CORAL HOMES/HG260001 LOT 289 (29) COORA CRESENT CURRIMUNDI/01 PROJECT DOCUMENTATION/02 CURRENT DOCS/01 PDF/43983 - TURNBULL - VO2 COLOUR- LBW MARKUP.pdf","43983 - TURNBULL - VO2 COLOUR- LBW MARKUP.pdf")</f>
        <v/>
      </c>
      <c r="S55" s="7">
        <f>HYPERLINK("file:///Y:/(17) 2026 HYTEK PROJECTS/CORAL HOMES/HG260001 LOT 289 (29) COORA CRESENT CURRIMUNDI/03 DETAILING/03 FRAMECAD DETAILER/HG260001 LOT 289 (29) COORA CRESENT CURRIMUNDI.fcp","HG260001 LOT 289 (29) COORA CRESENT CURRIMUNDI.fcp")</f>
        <v/>
      </c>
      <c r="T55" s="7">
        <f>HYPERLINK("file:///Y:/(17) 2026 HYTEK PROJECTS/CORAL HOMES/HG260001 LOT 289 (29) COORA CRESENT CURRIMUNDI/03 DETAILING/03 FRAMECAD DETAILER/01 XML OUTPUT/HG260001 LOT 289 COORA CRESCENT CURRIMUNDI 4551-GF-LBW-70.075.xml","HG260001 LOT 289 COORA CRESCENT CURRIMUNDI 4551-GF")</f>
        <v/>
      </c>
    </row>
    <row r="56" ht="210" customHeight="1">
      <c r="A56" s="2" t="n">
        <v>55</v>
      </c>
      <c r="B56" s="2" t="inlineStr">
        <is>
          <t>I</t>
        </is>
      </c>
      <c r="C56" s="2" t="inlineStr">
        <is>
          <t>Header (H — full)</t>
        </is>
      </c>
      <c r="D56" s="2" t="inlineStr">
        <is>
          <t>70mm</t>
        </is>
      </c>
      <c r="E56" s="2" t="inlineStr">
        <is>
          <t>LBW only</t>
        </is>
      </c>
      <c r="F56" s="2" t="inlineStr">
        <is>
          <t>End InnerDimple at length-58.5</t>
        </is>
      </c>
      <c r="G56" s="4" t="inlineStr">
        <is>
          <t>Spec'd</t>
        </is>
      </c>
      <c r="H56" s="2" t="inlineStr">
        <is>
          <t>Detailer User Manual p.100
Mirror of rule 54 at the end.</t>
        </is>
      </c>
      <c r="I56" s="5" t="inlineStr">
        <is>
          <t>MINED FROM 1,465 STICKS — overall 49.7% match
"Header @58.5 paired dimple — does Detailer emit it?"
By plan_type:
  LBW                                720/1007  =  71.5%
  NLBW                                 8/458   =   1.7%
By (plan_type, gauge):
  LBW/0.75                           446/599   =  74.5%
  NLBW/0.75                            8/448   =   1.8%
  LBW/0.95                           240/351   =  68.4%
  LBW/1.15                            34/57    =  59.6%
  NLBW/0.95                            0/10    =   0.0%</t>
        </is>
      </c>
      <c r="J56" s="6" t="inlineStr">
        <is>
          <t>HG260001
GF-LBW-70.075
frame PK4-L4
stick H1</t>
        </is>
      </c>
      <c r="K56" s="2" t="inlineStr">
        <is>
          <t>(see Source col)</t>
        </is>
      </c>
      <c r="L56" s="2" t="inlineStr">
        <is>
          <t>933 sticks / 80 pairs</t>
        </is>
      </c>
      <c r="M56" s="2" t="inlineStr">
        <is>
          <t>small</t>
        </is>
      </c>
      <c r="N56" s="2" t="inlineStr"/>
      <c r="O56" s="2" t="inlineStr"/>
      <c r="P56" s="7">
        <f>HYPERLINK("file:///C:/Users/Scott/CLAUDE CODE/hytek-rfy-codec/docs/rule-pdfs/rule-55.pdf","rule-55.pdf")</f>
        <v/>
      </c>
      <c r="Q56" s="7">
        <f>HYPERLINK("file:///Y:/(17) 2026 HYTEK PROJECTS/CORAL HOMES/HG260001 LOT 289 (29) COORA CRESENT CURRIMUNDI/06 MANUFACTURING/02 DRAWINGS MANUFACTURING/01 LGS/HG260001 LOT 289 COORA CRESCENT CURRIMUNDI 4551-GF-LBW-70.075.pdf","HG260001 LOT 289 COORA CRESCENT CURRIMUNDI 4551-GF")</f>
        <v/>
      </c>
      <c r="R56" s="7">
        <f>HYPERLINK("file:///Y:/(17) 2026 HYTEK PROJECTS/CORAL HOMES/HG260001 LOT 289 (29) COORA CRESENT CURRIMUNDI/01 PROJECT DOCUMENTATION/02 CURRENT DOCS/01 PDF/43983 - TURNBULL - VO2 COLOUR- LBW MARKUP.pdf","43983 - TURNBULL - VO2 COLOUR- LBW MARKUP.pdf")</f>
        <v/>
      </c>
      <c r="S56" s="7">
        <f>HYPERLINK("file:///Y:/(17) 2026 HYTEK PROJECTS/CORAL HOMES/HG260001 LOT 289 (29) COORA CRESENT CURRIMUNDI/03 DETAILING/03 FRAMECAD DETAILER/HG260001 LOT 289 (29) COORA CRESENT CURRIMUNDI.fcp","HG260001 LOT 289 (29) COORA CRESENT CURRIMUNDI.fcp")</f>
        <v/>
      </c>
      <c r="T56" s="7">
        <f>HYPERLINK("file:///Y:/(17) 2026 HYTEK PROJECTS/CORAL HOMES/HG260001 LOT 289 (29) COORA CRESENT CURRIMUNDI/03 DETAILING/03 FRAMECAD DETAILER/01 XML OUTPUT/HG260001 LOT 289 COORA CRESCENT CURRIMUNDI 4551-GF-LBW-70.075.xml","HG260001 LOT 289 COORA CRESCENT CURRIMUNDI 4551-GF")</f>
        <v/>
      </c>
    </row>
    <row r="57" ht="22" customHeight="1">
      <c r="A57" s="2" t="n">
        <v>56</v>
      </c>
      <c r="B57" s="2" t="inlineStr">
        <is>
          <t>I</t>
        </is>
      </c>
      <c r="C57" s="2" t="inlineStr">
        <is>
          <t>Header (H — full)</t>
        </is>
      </c>
      <c r="D57" s="2" t="inlineStr">
        <is>
          <t>70mm</t>
        </is>
      </c>
      <c r="E57" s="2" t="inlineStr">
        <is>
          <t>Always</t>
        </is>
      </c>
      <c r="F57" s="2" t="inlineStr">
        <is>
          <t>End InnerDimple at length-16.5</t>
        </is>
      </c>
      <c r="G57" s="3" t="inlineStr">
        <is>
          <t>Yes</t>
        </is>
      </c>
      <c r="H57" s="2" t="inlineStr"/>
      <c r="I57" s="2" t="inlineStr"/>
      <c r="J57" s="2" t="inlineStr"/>
      <c r="K57" s="2" t="inlineStr"/>
      <c r="L57" s="2" t="inlineStr">
        <is>
          <t>—</t>
        </is>
      </c>
      <c r="M57" s="2" t="inlineStr">
        <is>
          <t>—</t>
        </is>
      </c>
      <c r="N57" s="2" t="inlineStr"/>
      <c r="O57" s="2" t="inlineStr"/>
      <c r="P57" s="2" t="inlineStr"/>
      <c r="Q57" s="2" t="inlineStr"/>
      <c r="R57" s="2" t="inlineStr"/>
      <c r="S57" s="2" t="inlineStr"/>
      <c r="T57" s="2" t="inlineStr"/>
    </row>
    <row r="58" ht="22" customHeight="1">
      <c r="A58" s="2" t="n">
        <v>57</v>
      </c>
      <c r="B58" s="2" t="inlineStr">
        <is>
          <t>I</t>
        </is>
      </c>
      <c r="C58" s="2" t="inlineStr">
        <is>
          <t>Header (H — full)</t>
        </is>
      </c>
      <c r="D58" s="2" t="inlineStr">
        <is>
          <t>70mm</t>
        </is>
      </c>
      <c r="E58" s="2" t="inlineStr">
        <is>
          <t>Always</t>
        </is>
      </c>
      <c r="F58" s="2" t="inlineStr">
        <is>
          <t>End InnerNotch span 39mm</t>
        </is>
      </c>
      <c r="G58" s="3" t="inlineStr">
        <is>
          <t>Yes</t>
        </is>
      </c>
      <c r="H58" s="2" t="inlineStr"/>
      <c r="I58" s="2" t="inlineStr"/>
      <c r="J58" s="2" t="inlineStr"/>
      <c r="K58" s="2" t="inlineStr"/>
      <c r="L58" s="2" t="inlineStr">
        <is>
          <t>—</t>
        </is>
      </c>
      <c r="M58" s="2" t="inlineStr">
        <is>
          <t>—</t>
        </is>
      </c>
      <c r="N58" s="2" t="inlineStr"/>
      <c r="O58" s="2" t="inlineStr"/>
      <c r="P58" s="2" t="inlineStr"/>
      <c r="Q58" s="2" t="inlineStr"/>
      <c r="R58" s="2" t="inlineStr"/>
      <c r="S58" s="2" t="inlineStr"/>
      <c r="T58" s="2" t="inlineStr"/>
    </row>
    <row r="59" ht="22" customHeight="1">
      <c r="A59" s="2" t="n">
        <v>58</v>
      </c>
      <c r="B59" s="2" t="inlineStr">
        <is>
          <t>I</t>
        </is>
      </c>
      <c r="C59" s="2" t="inlineStr">
        <is>
          <t>Header (H — full)</t>
        </is>
      </c>
      <c r="D59" s="2" t="inlineStr">
        <is>
          <t>70mm</t>
        </is>
      </c>
      <c r="E59" s="2" t="inlineStr">
        <is>
          <t>Always</t>
        </is>
      </c>
      <c r="F59" s="2" t="inlineStr">
        <is>
          <t>End LipNotch span 39mm</t>
        </is>
      </c>
      <c r="G59" s="3" t="inlineStr">
        <is>
          <t>Yes</t>
        </is>
      </c>
      <c r="H59" s="2" t="inlineStr"/>
      <c r="I59" s="2" t="inlineStr"/>
      <c r="J59" s="2" t="inlineStr"/>
      <c r="K59" s="2" t="inlineStr"/>
      <c r="L59" s="2" t="inlineStr">
        <is>
          <t>—</t>
        </is>
      </c>
      <c r="M59" s="2" t="inlineStr">
        <is>
          <t>—</t>
        </is>
      </c>
      <c r="N59" s="2" t="inlineStr"/>
      <c r="O59" s="2" t="inlineStr"/>
      <c r="P59" s="2" t="inlineStr"/>
      <c r="Q59" s="2" t="inlineStr"/>
      <c r="R59" s="2" t="inlineStr"/>
      <c r="S59" s="2" t="inlineStr"/>
      <c r="T59" s="2" t="inlineStr"/>
    </row>
    <row r="60" ht="84" customHeight="1">
      <c r="A60" s="2" t="n">
        <v>59</v>
      </c>
      <c r="B60" s="2" t="inlineStr">
        <is>
          <t>I</t>
        </is>
      </c>
      <c r="C60" s="2" t="inlineStr">
        <is>
          <t>Header (H — full)</t>
        </is>
      </c>
      <c r="D60" s="2" t="inlineStr">
        <is>
          <t>70mm</t>
        </is>
      </c>
      <c r="E60" s="2" t="inlineStr">
        <is>
          <t>H1 or H3 in paired-header frame</t>
        </is>
      </c>
      <c r="F60" s="2" t="inlineStr">
        <is>
          <t>Web stiffener holes evenly distributed</t>
        </is>
      </c>
      <c r="G60" s="4" t="inlineStr">
        <is>
          <t>Spec'd</t>
        </is>
      </c>
      <c r="H60" s="2" t="inlineStr">
        <is>
          <t>Detailer User Manual p.100 (Head Split + Head Spacing) + Boxing tab p.34
MANUAL: 'Head Split — Option to divide the head horizontally.' A 'paired header' = a Head-Split header (boxed). Web stiffener holes appear on the boxed pieces. Detection: frame has Head Split = ON. The H1/H3 detection in our codec is approximating this.</t>
        </is>
      </c>
      <c r="I60" s="2" t="inlineStr"/>
      <c r="J60" s="6" t="inlineStr">
        <is>
          <t>HG260001
GF-LBW-70.075
frame PK4-L4
stick H1</t>
        </is>
      </c>
      <c r="K60" s="2" t="inlineStr">
        <is>
          <t>(see Source col)</t>
        </is>
      </c>
      <c r="L60" s="2" t="inlineStr">
        <is>
          <t>1,101 sticks / 145 pairs</t>
        </is>
      </c>
      <c r="M60" s="2" t="inlineStr">
        <is>
          <t>moderate</t>
        </is>
      </c>
      <c r="N60" s="2" t="inlineStr"/>
      <c r="O60" s="2" t="inlineStr"/>
      <c r="P60" s="7">
        <f>HYPERLINK("file:///C:/Users/Scott/CLAUDE CODE/hytek-rfy-codec/docs/rule-pdfs/rule-59.pdf","rule-59.pdf")</f>
        <v/>
      </c>
      <c r="Q60" s="7">
        <f>HYPERLINK("file:///Y:/(17) 2026 HYTEK PROJECTS/CORAL HOMES/HG260001 LOT 289 (29) COORA CRESENT CURRIMUNDI/06 MANUFACTURING/02 DRAWINGS MANUFACTURING/01 LGS/HG260001 LOT 289 COORA CRESCENT CURRIMUNDI 4551-GF-LBW-70.075.pdf","HG260001 LOT 289 COORA CRESCENT CURRIMUNDI 4551-GF")</f>
        <v/>
      </c>
      <c r="R60" s="7">
        <f>HYPERLINK("file:///Y:/(17) 2026 HYTEK PROJECTS/CORAL HOMES/HG260001 LOT 289 (29) COORA CRESENT CURRIMUNDI/01 PROJECT DOCUMENTATION/02 CURRENT DOCS/01 PDF/CONSTRUCTION DETAILS.pdf","CONSTRUCTION DETAILS.pdf")</f>
        <v/>
      </c>
      <c r="S60" s="7">
        <f>HYPERLINK("file:///Y:/(17) 2026 HYTEK PROJECTS/CORAL HOMES/HG260001 LOT 289 (29) COORA CRESENT CURRIMUNDI/03 DETAILING/03 FRAMECAD DETAILER/HG260001 LOT 289 (29) COORA CRESENT CURRIMUNDI.fcp","HG260001 LOT 289 (29) COORA CRESENT CURRIMUNDI.fcp")</f>
        <v/>
      </c>
      <c r="T60" s="7">
        <f>HYPERLINK("file:///Y:/(17) 2026 HYTEK PROJECTS/CORAL HOMES/HG260001 LOT 289 (29) COORA CRESENT CURRIMUNDI/03 DETAILING/03 FRAMECAD DETAILER/01 XML OUTPUT/HG260001 LOT 289 COORA CRESCENT CURRIMUNDI 4551-GF-LBW-70.075.xml","HG260001 LOT 289 COORA CRESCENT CURRIMUNDI 4551-GF")</f>
        <v/>
      </c>
    </row>
    <row r="61" ht="224" customHeight="1">
      <c r="A61" s="2" t="n">
        <v>60</v>
      </c>
      <c r="B61" s="2" t="inlineStr">
        <is>
          <t>I</t>
        </is>
      </c>
      <c r="C61" s="2" t="inlineStr">
        <is>
          <t>Header (H — full)</t>
        </is>
      </c>
      <c r="D61" s="2" t="inlineStr">
        <is>
          <t>89mm</t>
        </is>
      </c>
      <c r="E61" s="2" t="inlineStr">
        <is>
          <t>Always</t>
        </is>
      </c>
      <c r="F61" s="2" t="inlineStr">
        <is>
          <t>Caps + paired dimples at 16.5 AND 58.5 always both ends</t>
        </is>
      </c>
      <c r="G61" s="4" t="inlineStr">
        <is>
          <t>Spec'd</t>
        </is>
      </c>
      <c r="H61" s="2" t="inlineStr">
        <is>
          <t>Detailer User Manual p.100
89mm headers may default to Head Split = ON (heavier section needs more capacity). Verify against 89mm NLBW headers in corpus.</t>
        </is>
      </c>
      <c r="I61" s="5" t="inlineStr">
        <is>
          <t>MINED FROM 1,465 STICKS — overall 49.7% match
"Header @58.5 paired dimple — does Detailer emit it?"
By plan_type:
  LBW                                720/1007  =  71.5%
  NLBW                                 8/458   =   1.7%
By (plan_type, gauge):
  LBW/0.75                           446/599   =  74.5%
  NLBW/0.75                            8/448   =   1.8%
  LBW/0.95                           240/351   =  68.4%
  LBW/1.15                            34/57    =  59.6%
  NLBW/0.95                            0/10    =   0.0%</t>
        </is>
      </c>
      <c r="J61" s="6" t="inlineStr">
        <is>
          <t>HG260012
TH01-GF-LBW-89.075
frame L1001
stick H1</t>
        </is>
      </c>
      <c r="K61" s="2" t="inlineStr">
        <is>
          <t>(see Source col)</t>
        </is>
      </c>
      <c r="L61" s="2" t="inlineStr">
        <is>
          <t>532 sticks / 65 pairs</t>
        </is>
      </c>
      <c r="M61" s="2" t="inlineStr">
        <is>
          <t>small</t>
        </is>
      </c>
      <c r="N61" s="2" t="inlineStr"/>
      <c r="O61" s="2" t="inlineStr"/>
      <c r="P61" s="7">
        <f>HYPERLINK("file:///C:/Users/Scott/CLAUDE CODE/hytek-rfy-codec/docs/rule-pdfs/rule-60.pdf","rule-60.pdf")</f>
        <v/>
      </c>
      <c r="Q61" s="7">
        <f>HYPERLINK("file:///Y:/(17) 2026 HYTEK PROJECTS/AKAM CONSTRUCTIONS/HG260012 23 SPRINGWOOD ST TOWNHOUSES/06 MANUFACTURING/02 DRAWINGS MANUFACTURING/01 LGS/TH01-02/HG260012 [Akam] 23 Springwood Street -TH01-02-TH01-GF-LBW-89.075.pdf","HG260012 [Akam] 23 Springwood Street -TH01-02-TH01")</f>
        <v/>
      </c>
      <c r="R61" s="7">
        <f>HYPERLINK("file:///Y:/(17) 2026 HYTEK PROJECTS/AKAM CONSTRUCTIONS/HG260012 23 SPRINGWOOD ST TOWNHOUSES/01 PROJECT DOCUMENTATION/02 CURRENT DOCS/01 PDF/188. 23 Springwood St - Issue For Construction plan set.pdf","188. 23 Springwood St - Issue For Construction pla")</f>
        <v/>
      </c>
      <c r="S61" s="7">
        <f>HYPERLINK("file:///Y:/(17) 2026 HYTEK PROJECTS/AKAM CONSTRUCTIONS/HG260012 23 SPRINGWOOD ST TOWNHOUSES/03 DETAILING/03 FRAMECAD DETAILER/HG260012 [Akam] 23 Springwood Street -TH01-02.fcp","HG260012 [Akam] 23 Springwood Street -TH01-02.fcp")</f>
        <v/>
      </c>
      <c r="T61" s="7">
        <f>HYPERLINK("file:///Y:/(17) 2026 HYTEK PROJECTS/AKAM CONSTRUCTIONS/HG260012 23 SPRINGWOOD ST TOWNHOUSES/03 DETAILING/03 FRAMECAD DETAILER/01 XML OUTPUT/HG260012 [Akam] 23 Springwood Street -TH01-02-TH01-GF-LBW-89.075.xml","HG260012 [Akam] 23 Springwood Street -TH01-02-TH01")</f>
        <v/>
      </c>
    </row>
    <row r="62" ht="260" customHeight="1">
      <c r="A62" s="2" t="n">
        <v>61</v>
      </c>
      <c r="B62" s="2" t="inlineStr">
        <is>
          <t>J</t>
        </is>
      </c>
      <c r="C62" s="2" t="inlineStr">
        <is>
          <t>Wall brace (W on wall plan)</t>
        </is>
      </c>
      <c r="D62" s="2" t="inlineStr">
        <is>
          <t>70/89mm</t>
        </is>
      </c>
      <c r="E62" s="2" t="inlineStr">
        <is>
          <t>Wall plan AND angle from vertical &gt;= 28 deg</t>
        </is>
      </c>
      <c r="F62" s="2" t="inlineStr">
        <is>
          <t>Chamfer at start (diagonal cut)</t>
        </is>
      </c>
      <c r="G62" s="4" t="inlineStr">
        <is>
          <t>Spec'd</t>
        </is>
      </c>
      <c r="H62" s="2" t="inlineStr">
        <is>
          <t>Detailer User Manual p.32 + machine-setups.ts
Same auto-chamfer geometric check as rule 9. Replace 'angle &gt;= 28 deg' threshold with collision detection (chamferTolerance = 2-4mm).</t>
        </is>
      </c>
      <c r="I62" s="5" t="inlineStr">
        <is>
          <t>MINED FROM 17,233 STICKS — overall 44.3% match
"Kb/W has any Chamfer (auto-chamfer fired) — by role+plan+frame"
By plan_type:
  TIN                               2076/6209  =  33.4%
  LBW                               3533/5685  =  62.1%
  TB2B                                 0/2763  =   0.0%
  FJ                                 948/1395  =  68.0%
  NLBW                               782/862   =  90.7%
By frame_type:
  Truss                             2071/8928  =  23.2%
  ExternalWall                      2639/4378  =  60.3%
  InternalWall                      1676/2169  =  77.3%
  Joist                              948/1395  =  68.0%
  RoofPanel                          245/271   =  90.4%</t>
        </is>
      </c>
      <c r="J62" s="6" t="inlineStr">
        <is>
          <t>HG260001
GF-LBW-70.075
frame PK4-L27
stick W2</t>
        </is>
      </c>
      <c r="K62" s="2" t="inlineStr">
        <is>
          <t>(see Source col)</t>
        </is>
      </c>
      <c r="L62" s="2" t="inlineStr">
        <is>
          <t>3,834 sticks / 91 pairs</t>
        </is>
      </c>
      <c r="M62" s="2" t="inlineStr">
        <is>
          <t>small</t>
        </is>
      </c>
      <c r="N62" s="2" t="inlineStr"/>
      <c r="O62" s="2" t="inlineStr"/>
      <c r="P62" s="7">
        <f>HYPERLINK("file:///C:/Users/Scott/CLAUDE CODE/hytek-rfy-codec/docs/rule-pdfs/rule-61.pdf","rule-61.pdf")</f>
        <v/>
      </c>
      <c r="Q62" s="7">
        <f>HYPERLINK("file:///Y:/(17) 2026 HYTEK PROJECTS/CORAL HOMES/HG260001 LOT 289 (29) COORA CRESENT CURRIMUNDI/06 MANUFACTURING/02 DRAWINGS MANUFACTURING/01 LGS/HG260001 LOT 289 COORA CRESCENT CURRIMUNDI 4551-GF-LBW-70.075.pdf","HG260001 LOT 289 COORA CRESCENT CURRIMUNDI 4551-GF")</f>
        <v/>
      </c>
      <c r="R62" s="7">
        <f>HYPERLINK("file:///Y:/(17) 2026 HYTEK PROJECTS/CORAL HOMES/HG260001 LOT 289 (29) COORA CRESENT CURRIMUNDI/01 PROJECT DOCUMENTATION/02 CURRENT DOCS/01 PDF/CONSTRUCTION DETAILS.pdf","CONSTRUCTION DETAILS.pdf")</f>
        <v/>
      </c>
      <c r="S62" s="7">
        <f>HYPERLINK("file:///Y:/(17) 2026 HYTEK PROJECTS/CORAL HOMES/HG260001 LOT 289 (29) COORA CRESENT CURRIMUNDI/03 DETAILING/03 FRAMECAD DETAILER/HG260001 LOT 289 (29) COORA CRESENT CURRIMUNDI.fcp","HG260001 LOT 289 (29) COORA CRESENT CURRIMUNDI.fcp")</f>
        <v/>
      </c>
      <c r="T62" s="7">
        <f>HYPERLINK("file:///Y:/(17) 2026 HYTEK PROJECTS/CORAL HOMES/HG260001 LOT 289 (29) COORA CRESENT CURRIMUNDI/03 DETAILING/03 FRAMECAD DETAILER/01 XML OUTPUT/HG260001 LOT 289 COORA CRESCENT CURRIMUNDI 4551-GF-LBW-70.075.xml","HG260001 LOT 289 COORA CRESCENT CURRIMUNDI 4551-GF")</f>
        <v/>
      </c>
    </row>
    <row r="63" ht="22" customHeight="1">
      <c r="A63" s="2" t="n">
        <v>62</v>
      </c>
      <c r="B63" s="2" t="inlineStr">
        <is>
          <t>J</t>
        </is>
      </c>
      <c r="C63" s="2" t="inlineStr">
        <is>
          <t>Wall brace (W on wall plan)</t>
        </is>
      </c>
      <c r="D63" s="2" t="inlineStr">
        <is>
          <t>70/89mm</t>
        </is>
      </c>
      <c r="E63" s="2" t="inlineStr">
        <is>
          <t>Wall plan</t>
        </is>
      </c>
      <c r="F63" s="2" t="inlineStr">
        <is>
          <t>Start Swage span 41mm</t>
        </is>
      </c>
      <c r="G63" s="3" t="inlineStr">
        <is>
          <t>Yes</t>
        </is>
      </c>
      <c r="H63" s="2" t="inlineStr"/>
      <c r="I63" s="2" t="inlineStr"/>
      <c r="J63" s="2" t="inlineStr"/>
      <c r="K63" s="2" t="inlineStr"/>
      <c r="L63" s="2" t="inlineStr">
        <is>
          <t>—</t>
        </is>
      </c>
      <c r="M63" s="2" t="inlineStr">
        <is>
          <t>—</t>
        </is>
      </c>
      <c r="N63" s="2" t="inlineStr"/>
      <c r="O63" s="2" t="inlineStr"/>
      <c r="P63" s="2" t="inlineStr"/>
      <c r="Q63" s="2" t="inlineStr"/>
      <c r="R63" s="2" t="inlineStr"/>
      <c r="S63" s="2" t="inlineStr"/>
      <c r="T63" s="2" t="inlineStr"/>
    </row>
    <row r="64" ht="22" customHeight="1">
      <c r="A64" s="2" t="n">
        <v>63</v>
      </c>
      <c r="B64" s="2" t="inlineStr">
        <is>
          <t>J</t>
        </is>
      </c>
      <c r="C64" s="2" t="inlineStr">
        <is>
          <t>Wall brace (W on wall plan)</t>
        </is>
      </c>
      <c r="D64" s="2" t="inlineStr">
        <is>
          <t>70/89mm</t>
        </is>
      </c>
      <c r="E64" s="2" t="inlineStr">
        <is>
          <t>Wall plan</t>
        </is>
      </c>
      <c r="F64" s="2" t="inlineStr">
        <is>
          <t>Start InnerDimple at 10mm</t>
        </is>
      </c>
      <c r="G64" s="3" t="inlineStr">
        <is>
          <t>Yes</t>
        </is>
      </c>
      <c r="H64" s="2" t="inlineStr"/>
      <c r="I64" s="2" t="inlineStr"/>
      <c r="J64" s="2" t="inlineStr"/>
      <c r="K64" s="2" t="inlineStr"/>
      <c r="L64" s="2" t="inlineStr">
        <is>
          <t>—</t>
        </is>
      </c>
      <c r="M64" s="2" t="inlineStr">
        <is>
          <t>—</t>
        </is>
      </c>
      <c r="N64" s="2" t="inlineStr"/>
      <c r="O64" s="2" t="inlineStr"/>
      <c r="P64" s="2" t="inlineStr"/>
      <c r="Q64" s="2" t="inlineStr"/>
      <c r="R64" s="2" t="inlineStr"/>
      <c r="S64" s="2" t="inlineStr"/>
      <c r="T64" s="2" t="inlineStr"/>
    </row>
    <row r="65" ht="80" customHeight="1">
      <c r="A65" s="2" t="n">
        <v>64</v>
      </c>
      <c r="B65" s="2" t="inlineStr">
        <is>
          <t>J</t>
        </is>
      </c>
      <c r="C65" s="2" t="inlineStr">
        <is>
          <t>Wall brace (W on wall plan)</t>
        </is>
      </c>
      <c r="D65" s="2" t="inlineStr">
        <is>
          <t>70/89mm</t>
        </is>
      </c>
      <c r="E65" s="2" t="inlineStr">
        <is>
          <t>Wall plan, angle-dependent</t>
        </is>
      </c>
      <c r="F65" s="2" t="inlineStr">
        <is>
          <t>End Swage span = 39/cos(a) + 8*tan^2(a)</t>
        </is>
      </c>
      <c r="G65" s="4" t="inlineStr">
        <is>
          <t>Spec'd</t>
        </is>
      </c>
      <c r="H65" s="2" t="inlineStr">
        <is>
          <t>Detailer User Manual p.32 + machine-setups.ts: chamferDetail
Replace '39/cos(a) + 8*tan^2(a)' empirical curve with cap-span derived from the chamfered cut edge geometry.</t>
        </is>
      </c>
      <c r="I65" s="2" t="inlineStr"/>
      <c r="J65" s="6" t="inlineStr">
        <is>
          <t>HG260001
GF-LBW-70.075
frame PK4-L27
stick W2</t>
        </is>
      </c>
      <c r="K65" s="2" t="inlineStr">
        <is>
          <t>(see Source col)</t>
        </is>
      </c>
      <c r="L65" s="2" t="inlineStr">
        <is>
          <t>3,834 sticks / 91 pairs</t>
        </is>
      </c>
      <c r="M65" s="2" t="inlineStr">
        <is>
          <t>moderate</t>
        </is>
      </c>
      <c r="N65" s="2" t="inlineStr"/>
      <c r="O65" s="2" t="inlineStr"/>
      <c r="P65" s="7">
        <f>HYPERLINK("file:///C:/Users/Scott/CLAUDE CODE/hytek-rfy-codec/docs/rule-pdfs/rule-64.pdf","rule-64.pdf")</f>
        <v/>
      </c>
      <c r="Q65" s="7">
        <f>HYPERLINK("file:///Y:/(17) 2026 HYTEK PROJECTS/CORAL HOMES/HG260001 LOT 289 (29) COORA CRESENT CURRIMUNDI/06 MANUFACTURING/02 DRAWINGS MANUFACTURING/01 LGS/HG260001 LOT 289 COORA CRESCENT CURRIMUNDI 4551-GF-LBW-70.075.pdf","HG260001 LOT 289 COORA CRESCENT CURRIMUNDI 4551-GF")</f>
        <v/>
      </c>
      <c r="R65" s="7">
        <f>HYPERLINK("file:///Y:/(17) 2026 HYTEK PROJECTS/CORAL HOMES/HG260001 LOT 289 (29) COORA CRESENT CURRIMUNDI/01 PROJECT DOCUMENTATION/02 CURRENT DOCS/01 PDF/CONSTRUCTION DETAILS.pdf","CONSTRUCTION DETAILS.pdf")</f>
        <v/>
      </c>
      <c r="S65" s="7">
        <f>HYPERLINK("file:///Y:/(17) 2026 HYTEK PROJECTS/CORAL HOMES/HG260001 LOT 289 (29) COORA CRESENT CURRIMUNDI/03 DETAILING/03 FRAMECAD DETAILER/HG260001 LOT 289 (29) COORA CRESENT CURRIMUNDI.fcp","HG260001 LOT 289 (29) COORA CRESENT CURRIMUNDI.fcp")</f>
        <v/>
      </c>
      <c r="T65" s="7">
        <f>HYPERLINK("file:///Y:/(17) 2026 HYTEK PROJECTS/CORAL HOMES/HG260001 LOT 289 (29) COORA CRESENT CURRIMUNDI/03 DETAILING/03 FRAMECAD DETAILER/01 XML OUTPUT/HG260001 LOT 289 COORA CRESCENT CURRIMUNDI 4551-GF-LBW-70.075.xml","HG260001 LOT 289 COORA CRESCENT CURRIMUNDI 4551-GF")</f>
        <v/>
      </c>
    </row>
    <row r="66" ht="22" customHeight="1">
      <c r="A66" s="2" t="n">
        <v>65</v>
      </c>
      <c r="B66" s="2" t="inlineStr">
        <is>
          <t>J</t>
        </is>
      </c>
      <c r="C66" s="2" t="inlineStr">
        <is>
          <t>Wall brace (W on wall plan)</t>
        </is>
      </c>
      <c r="D66" s="2" t="inlineStr">
        <is>
          <t>70/89mm</t>
        </is>
      </c>
      <c r="E66" s="2" t="inlineStr">
        <is>
          <t>Wall plan</t>
        </is>
      </c>
      <c r="F66" s="2" t="inlineStr">
        <is>
          <t>End InnerDimple at length-10</t>
        </is>
      </c>
      <c r="G66" s="3" t="inlineStr">
        <is>
          <t>Yes</t>
        </is>
      </c>
      <c r="H66" s="2" t="inlineStr"/>
      <c r="I66" s="2" t="inlineStr"/>
      <c r="J66" s="2" t="inlineStr"/>
      <c r="K66" s="2" t="inlineStr"/>
      <c r="L66" s="2" t="inlineStr">
        <is>
          <t>—</t>
        </is>
      </c>
      <c r="M66" s="2" t="inlineStr">
        <is>
          <t>—</t>
        </is>
      </c>
      <c r="N66" s="2" t="inlineStr"/>
      <c r="O66" s="2" t="inlineStr"/>
      <c r="P66" s="2" t="inlineStr"/>
      <c r="Q66" s="2" t="inlineStr"/>
      <c r="R66" s="2" t="inlineStr"/>
      <c r="S66" s="2" t="inlineStr"/>
      <c r="T66" s="2" t="inlineStr"/>
    </row>
    <row r="67" ht="252" customHeight="1">
      <c r="A67" s="2" t="n">
        <v>66</v>
      </c>
      <c r="B67" s="2" t="inlineStr">
        <is>
          <t>J</t>
        </is>
      </c>
      <c r="C67" s="2" t="inlineStr">
        <is>
          <t>Wall brace (W on wall plan)</t>
        </is>
      </c>
      <c r="D67" s="2" t="inlineStr">
        <is>
          <t>70/89mm</t>
        </is>
      </c>
      <c r="E67" s="2" t="inlineStr">
        <is>
          <t>Wall plan AND angle &gt;= 28 deg</t>
        </is>
      </c>
      <c r="F67" s="2" t="inlineStr">
        <is>
          <t>End Chamfer</t>
        </is>
      </c>
      <c r="G67" s="4" t="inlineStr">
        <is>
          <t>Spec'd</t>
        </is>
      </c>
      <c r="H67" s="2" t="inlineStr">
        <is>
          <t>Detailer User Manual p.32
Same as rule 61.</t>
        </is>
      </c>
      <c r="I67" s="5" t="inlineStr">
        <is>
          <t>MINED FROM 17,233 STICKS — overall 44.3% match
"Kb/W has any Chamfer (auto-chamfer fired) — by role+plan+frame"
By plan_type:
  TIN                               2076/6209  =  33.4%
  LBW                               3533/5685  =  62.1%
  TB2B                                 0/2763  =   0.0%
  FJ                                 948/1395  =  68.0%
  NLBW                               782/862   =  90.7%
By frame_type:
  Truss                             2071/8928  =  23.2%
  ExternalWall                      2639/4378  =  60.3%
  InternalWall                      1676/2169  =  77.3%
  Joist                              948/1395  =  68.0%
  RoofPanel                          245/271   =  90.4%</t>
        </is>
      </c>
      <c r="J67" s="6" t="inlineStr">
        <is>
          <t>HG260001
GF-LBW-70.075
frame PK4-L27
stick W2</t>
        </is>
      </c>
      <c r="K67" s="2" t="inlineStr">
        <is>
          <t>(see Source col)</t>
        </is>
      </c>
      <c r="L67" s="2" t="inlineStr">
        <is>
          <t>3,834 sticks / 91 pairs</t>
        </is>
      </c>
      <c r="M67" s="2" t="inlineStr">
        <is>
          <t>small</t>
        </is>
      </c>
      <c r="N67" s="2" t="inlineStr"/>
      <c r="O67" s="2" t="inlineStr"/>
      <c r="P67" s="7">
        <f>HYPERLINK("file:///C:/Users/Scott/CLAUDE CODE/hytek-rfy-codec/docs/rule-pdfs/rule-66.pdf","rule-66.pdf")</f>
        <v/>
      </c>
      <c r="Q67" s="7">
        <f>HYPERLINK("file:///Y:/(17) 2026 HYTEK PROJECTS/CORAL HOMES/HG260001 LOT 289 (29) COORA CRESENT CURRIMUNDI/06 MANUFACTURING/02 DRAWINGS MANUFACTURING/01 LGS/HG260001 LOT 289 COORA CRESCENT CURRIMUNDI 4551-GF-LBW-70.075.pdf","HG260001 LOT 289 COORA CRESCENT CURRIMUNDI 4551-GF")</f>
        <v/>
      </c>
      <c r="R67" s="7">
        <f>HYPERLINK("file:///Y:/(17) 2026 HYTEK PROJECTS/CORAL HOMES/HG260001 LOT 289 (29) COORA CRESENT CURRIMUNDI/01 PROJECT DOCUMENTATION/02 CURRENT DOCS/01 PDF/CONSTRUCTION DETAILS.pdf","CONSTRUCTION DETAILS.pdf")</f>
        <v/>
      </c>
      <c r="S67" s="7">
        <f>HYPERLINK("file:///Y:/(17) 2026 HYTEK PROJECTS/CORAL HOMES/HG260001 LOT 289 (29) COORA CRESENT CURRIMUNDI/03 DETAILING/03 FRAMECAD DETAILER/HG260001 LOT 289 (29) COORA CRESENT CURRIMUNDI.fcp","HG260001 LOT 289 (29) COORA CRESENT CURRIMUNDI.fcp")</f>
        <v/>
      </c>
      <c r="T67" s="7">
        <f>HYPERLINK("file:///Y:/(17) 2026 HYTEK PROJECTS/CORAL HOMES/HG260001 LOT 289 (29) COORA CRESENT CURRIMUNDI/03 DETAILING/03 FRAMECAD DETAILER/01 XML OUTPUT/HG260001 LOT 289 COORA CRESCENT CURRIMUNDI 4551-GF-LBW-70.075.xml","HG260001 LOT 289 COORA CRESCENT CURRIMUNDI 4551-GF")</f>
        <v/>
      </c>
    </row>
    <row r="68" ht="22" customHeight="1">
      <c r="A68" s="2" t="n">
        <v>67</v>
      </c>
      <c r="B68" s="2" t="inlineStr">
        <is>
          <t>K</t>
        </is>
      </c>
      <c r="C68" s="2" t="inlineStr">
        <is>
          <t>Truss/joist web (W non-wall)</t>
        </is>
      </c>
      <c r="D68" s="2" t="inlineStr">
        <is>
          <t>70/89mm</t>
        </is>
      </c>
      <c r="E68" s="2" t="inlineStr">
        <is>
          <t>Non-wall plan</t>
        </is>
      </c>
      <c r="F68" s="2" t="inlineStr">
        <is>
          <t>Start Swage span 39mm</t>
        </is>
      </c>
      <c r="G68" s="3" t="inlineStr">
        <is>
          <t>Yes</t>
        </is>
      </c>
      <c r="H68" s="2" t="inlineStr"/>
      <c r="I68" s="2" t="inlineStr"/>
      <c r="J68" s="2" t="inlineStr"/>
      <c r="K68" s="2" t="inlineStr"/>
      <c r="L68" s="2" t="inlineStr">
        <is>
          <t>—</t>
        </is>
      </c>
      <c r="M68" s="2" t="inlineStr">
        <is>
          <t>—</t>
        </is>
      </c>
      <c r="N68" s="2" t="inlineStr"/>
      <c r="O68" s="2" t="inlineStr"/>
      <c r="P68" s="2" t="inlineStr"/>
      <c r="Q68" s="2" t="inlineStr"/>
      <c r="R68" s="2" t="inlineStr"/>
      <c r="S68" s="2" t="inlineStr"/>
      <c r="T68" s="2" t="inlineStr"/>
    </row>
    <row r="69" ht="22" customHeight="1">
      <c r="A69" s="2" t="n">
        <v>68</v>
      </c>
      <c r="B69" s="2" t="inlineStr">
        <is>
          <t>K</t>
        </is>
      </c>
      <c r="C69" s="2" t="inlineStr">
        <is>
          <t>Truss/joist web (W non-wall)</t>
        </is>
      </c>
      <c r="D69" s="2" t="inlineStr">
        <is>
          <t>70/89mm</t>
        </is>
      </c>
      <c r="E69" s="2" t="inlineStr">
        <is>
          <t>Non-wall plan</t>
        </is>
      </c>
      <c r="F69" s="2" t="inlineStr">
        <is>
          <t>Start InnerDimple at 16.5</t>
        </is>
      </c>
      <c r="G69" s="3" t="inlineStr">
        <is>
          <t>Yes</t>
        </is>
      </c>
      <c r="H69" s="2" t="inlineStr"/>
      <c r="I69" s="2" t="inlineStr"/>
      <c r="J69" s="2" t="inlineStr"/>
      <c r="K69" s="2" t="inlineStr"/>
      <c r="L69" s="2" t="inlineStr">
        <is>
          <t>—</t>
        </is>
      </c>
      <c r="M69" s="2" t="inlineStr">
        <is>
          <t>—</t>
        </is>
      </c>
      <c r="N69" s="2" t="inlineStr"/>
      <c r="O69" s="2" t="inlineStr"/>
      <c r="P69" s="2" t="inlineStr"/>
      <c r="Q69" s="2" t="inlineStr"/>
      <c r="R69" s="2" t="inlineStr"/>
      <c r="S69" s="2" t="inlineStr"/>
      <c r="T69" s="2" t="inlineStr"/>
    </row>
    <row r="70" ht="22" customHeight="1">
      <c r="A70" s="2" t="n">
        <v>69</v>
      </c>
      <c r="B70" s="2" t="inlineStr">
        <is>
          <t>K</t>
        </is>
      </c>
      <c r="C70" s="2" t="inlineStr">
        <is>
          <t>Truss/joist web (W non-wall)</t>
        </is>
      </c>
      <c r="D70" s="2" t="inlineStr">
        <is>
          <t>70/89mm</t>
        </is>
      </c>
      <c r="E70" s="2" t="inlineStr">
        <is>
          <t>Non-wall plan</t>
        </is>
      </c>
      <c r="F70" s="2" t="inlineStr">
        <is>
          <t>End Swage span 39mm</t>
        </is>
      </c>
      <c r="G70" s="3" t="inlineStr">
        <is>
          <t>Yes</t>
        </is>
      </c>
      <c r="H70" s="2" t="inlineStr"/>
      <c r="I70" s="2" t="inlineStr"/>
      <c r="J70" s="2" t="inlineStr"/>
      <c r="K70" s="2" t="inlineStr"/>
      <c r="L70" s="2" t="inlineStr">
        <is>
          <t>—</t>
        </is>
      </c>
      <c r="M70" s="2" t="inlineStr">
        <is>
          <t>—</t>
        </is>
      </c>
      <c r="N70" s="2" t="inlineStr"/>
      <c r="O70" s="2" t="inlineStr"/>
      <c r="P70" s="2" t="inlineStr"/>
      <c r="Q70" s="2" t="inlineStr"/>
      <c r="R70" s="2" t="inlineStr"/>
      <c r="S70" s="2" t="inlineStr"/>
      <c r="T70" s="2" t="inlineStr"/>
    </row>
    <row r="71" ht="22" customHeight="1">
      <c r="A71" s="2" t="n">
        <v>70</v>
      </c>
      <c r="B71" s="2" t="inlineStr">
        <is>
          <t>K</t>
        </is>
      </c>
      <c r="C71" s="2" t="inlineStr">
        <is>
          <t>Truss/joist web (W non-wall)</t>
        </is>
      </c>
      <c r="D71" s="2" t="inlineStr">
        <is>
          <t>70/89mm</t>
        </is>
      </c>
      <c r="E71" s="2" t="inlineStr">
        <is>
          <t>Non-wall plan</t>
        </is>
      </c>
      <c r="F71" s="2" t="inlineStr">
        <is>
          <t>End InnerDimple at length-16.5</t>
        </is>
      </c>
      <c r="G71" s="3" t="inlineStr">
        <is>
          <t>Yes</t>
        </is>
      </c>
      <c r="H71" s="2" t="inlineStr"/>
      <c r="I71" s="2" t="inlineStr"/>
      <c r="J71" s="2" t="inlineStr"/>
      <c r="K71" s="2" t="inlineStr"/>
      <c r="L71" s="2" t="inlineStr">
        <is>
          <t>—</t>
        </is>
      </c>
      <c r="M71" s="2" t="inlineStr">
        <is>
          <t>—</t>
        </is>
      </c>
      <c r="N71" s="2" t="inlineStr"/>
      <c r="O71" s="2" t="inlineStr"/>
      <c r="P71" s="2" t="inlineStr"/>
      <c r="Q71" s="2" t="inlineStr"/>
      <c r="R71" s="2" t="inlineStr"/>
      <c r="S71" s="2" t="inlineStr"/>
      <c r="T71" s="2" t="inlineStr"/>
    </row>
    <row r="72" ht="22" customHeight="1">
      <c r="A72" s="2" t="n">
        <v>71</v>
      </c>
      <c r="B72" s="2" t="inlineStr">
        <is>
          <t>L</t>
        </is>
      </c>
      <c r="C72" s="2" t="inlineStr">
        <is>
          <t>Lintel/sill (L)</t>
        </is>
      </c>
      <c r="D72" s="2" t="inlineStr">
        <is>
          <t>70mm</t>
        </is>
      </c>
      <c r="E72" s="2" t="inlineStr">
        <is>
          <t>Always</t>
        </is>
      </c>
      <c r="F72" s="2" t="inlineStr">
        <is>
          <t>Start InnerNotch span 39mm</t>
        </is>
      </c>
      <c r="G72" s="3" t="inlineStr">
        <is>
          <t>Yes</t>
        </is>
      </c>
      <c r="H72" s="2" t="inlineStr"/>
      <c r="I72" s="2" t="inlineStr"/>
      <c r="J72" s="2" t="inlineStr"/>
      <c r="K72" s="2" t="inlineStr"/>
      <c r="L72" s="2" t="inlineStr">
        <is>
          <t>—</t>
        </is>
      </c>
      <c r="M72" s="2" t="inlineStr">
        <is>
          <t>—</t>
        </is>
      </c>
      <c r="N72" s="2" t="inlineStr"/>
      <c r="O72" s="2" t="inlineStr"/>
      <c r="P72" s="2" t="inlineStr"/>
      <c r="Q72" s="2" t="inlineStr"/>
      <c r="R72" s="2" t="inlineStr"/>
      <c r="S72" s="2" t="inlineStr"/>
      <c r="T72" s="2" t="inlineStr"/>
    </row>
    <row r="73" ht="22" customHeight="1">
      <c r="A73" s="2" t="n">
        <v>72</v>
      </c>
      <c r="B73" s="2" t="inlineStr">
        <is>
          <t>L</t>
        </is>
      </c>
      <c r="C73" s="2" t="inlineStr">
        <is>
          <t>Lintel/sill (L)</t>
        </is>
      </c>
      <c r="D73" s="2" t="inlineStr">
        <is>
          <t>70mm</t>
        </is>
      </c>
      <c r="E73" s="2" t="inlineStr">
        <is>
          <t>Always</t>
        </is>
      </c>
      <c r="F73" s="2" t="inlineStr">
        <is>
          <t>Start LipNotch span 39mm</t>
        </is>
      </c>
      <c r="G73" s="3" t="inlineStr">
        <is>
          <t>Yes</t>
        </is>
      </c>
      <c r="H73" s="2" t="inlineStr"/>
      <c r="I73" s="2" t="inlineStr"/>
      <c r="J73" s="2" t="inlineStr"/>
      <c r="K73" s="2" t="inlineStr"/>
      <c r="L73" s="2" t="inlineStr">
        <is>
          <t>—</t>
        </is>
      </c>
      <c r="M73" s="2" t="inlineStr">
        <is>
          <t>—</t>
        </is>
      </c>
      <c r="N73" s="2" t="inlineStr"/>
      <c r="O73" s="2" t="inlineStr"/>
      <c r="P73" s="2" t="inlineStr"/>
      <c r="Q73" s="2" t="inlineStr"/>
      <c r="R73" s="2" t="inlineStr"/>
      <c r="S73" s="2" t="inlineStr"/>
      <c r="T73" s="2" t="inlineStr"/>
    </row>
    <row r="74" ht="22" customHeight="1">
      <c r="A74" s="2" t="n">
        <v>73</v>
      </c>
      <c r="B74" s="2" t="inlineStr">
        <is>
          <t>L</t>
        </is>
      </c>
      <c r="C74" s="2" t="inlineStr">
        <is>
          <t>Lintel/sill (L)</t>
        </is>
      </c>
      <c r="D74" s="2" t="inlineStr">
        <is>
          <t>70mm</t>
        </is>
      </c>
      <c r="E74" s="2" t="inlineStr">
        <is>
          <t>Always</t>
        </is>
      </c>
      <c r="F74" s="2" t="inlineStr">
        <is>
          <t>Start InnerDimple at 16.5</t>
        </is>
      </c>
      <c r="G74" s="3" t="inlineStr">
        <is>
          <t>Yes</t>
        </is>
      </c>
      <c r="H74" s="2" t="inlineStr"/>
      <c r="I74" s="2" t="inlineStr"/>
      <c r="J74" s="2" t="inlineStr"/>
      <c r="K74" s="2" t="inlineStr"/>
      <c r="L74" s="2" t="inlineStr">
        <is>
          <t>—</t>
        </is>
      </c>
      <c r="M74" s="2" t="inlineStr">
        <is>
          <t>—</t>
        </is>
      </c>
      <c r="N74" s="2" t="inlineStr"/>
      <c r="O74" s="2" t="inlineStr"/>
      <c r="P74" s="2" t="inlineStr"/>
      <c r="Q74" s="2" t="inlineStr"/>
      <c r="R74" s="2" t="inlineStr"/>
      <c r="S74" s="2" t="inlineStr"/>
      <c r="T74" s="2" t="inlineStr"/>
    </row>
    <row r="75" ht="224" customHeight="1">
      <c r="A75" s="2" t="n">
        <v>74</v>
      </c>
      <c r="B75" s="2" t="inlineStr">
        <is>
          <t>L</t>
        </is>
      </c>
      <c r="C75" s="2" t="inlineStr">
        <is>
          <t>Lintel/sill (L)</t>
        </is>
      </c>
      <c r="D75" s="2" t="inlineStr">
        <is>
          <t>89mm</t>
        </is>
      </c>
      <c r="E75" s="2" t="inlineStr">
        <is>
          <t>Always</t>
        </is>
      </c>
      <c r="F75" s="2" t="inlineStr">
        <is>
          <t>Start InnerDimple at 58.5 (paired)</t>
        </is>
      </c>
      <c r="G75" s="4" t="inlineStr">
        <is>
          <t>Spec'd</t>
        </is>
      </c>
      <c r="H75" s="2" t="inlineStr">
        <is>
          <t>Detailer User Manual p.100-101 (Sill Split, similar to Head Split)
Sills (L role) are subject to 'Sill Split' — analogous to Head Split. The 58.5 paired dimple appears on split sills.</t>
        </is>
      </c>
      <c r="I75" s="5" t="inlineStr">
        <is>
          <t>MINED FROM 1,465 STICKS — overall 49.7% match
"Header @58.5 paired dimple — does Detailer emit it?"
By plan_type:
  LBW                                720/1007  =  71.5%
  NLBW                                 8/458   =   1.7%
By (plan_type, gauge):
  LBW/0.75                           446/599   =  74.5%
  NLBW/0.75                            8/448   =   1.8%
  LBW/0.95                           240/351   =  68.4%
  LBW/1.15                            34/57    =  59.6%
  NLBW/0.95                            0/10    =   0.0%</t>
        </is>
      </c>
      <c r="J75" s="6" t="inlineStr">
        <is>
          <t>HG260002
GF-LBW-89.075
frame L24
stick L3</t>
        </is>
      </c>
      <c r="K75" s="2" t="inlineStr">
        <is>
          <t>(see Source col)</t>
        </is>
      </c>
      <c r="L75" s="2" t="inlineStr">
        <is>
          <t>156 sticks / 22 pairs</t>
        </is>
      </c>
      <c r="M75" s="2" t="inlineStr">
        <is>
          <t>small</t>
        </is>
      </c>
      <c r="N75" s="2" t="inlineStr"/>
      <c r="O75" s="2" t="inlineStr"/>
      <c r="P75" s="7">
        <f>HYPERLINK("file:///C:/Users/Scott/CLAUDE CODE/hytek-rfy-codec/docs/rule-pdfs/rule-74.pdf","rule-74.pdf")</f>
        <v/>
      </c>
      <c r="Q75" s="7">
        <f>HYPERLINK("file:///Y:/(17) 2026 HYTEK PROJECTS/BOWE PROJECTS/HG260002 5 MOSSIP COURT WELLINGTON POINT/06 MANUFACTURING/02 DRAWINGS MANUFACTURING/01 LGS/HG260002 5 MOSSIP COURT WELLINGTON POINT-GF-LBW-89.075.pdf","HG260002 5 MOSSIP COURT WELLINGTON POINT-GF-LBW-89")</f>
        <v/>
      </c>
      <c r="R75" s="2" t="inlineStr"/>
      <c r="S75" s="7">
        <f>HYPERLINK("file:///Y:/(17) 2026 HYTEK PROJECTS/BOWE PROJECTS/HG260002 5 MOSSIP COURT WELLINGTON POINT/03 DETAILING/03 FRAMECAD DETAILER/HG260002 5 MOSSIP COURT WELLINGTON POINT.fcp","HG260002 5 MOSSIP COURT WELLINGTON POINT.fcp")</f>
        <v/>
      </c>
      <c r="T75" s="7">
        <f>HYPERLINK("file:///Y:/(17) 2026 HYTEK PROJECTS/BOWE PROJECTS/HG260002 5 MOSSIP COURT WELLINGTON POINT/03 DETAILING/03 FRAMECAD DETAILER/01 XML OUTPUT/HG260002 5 MOSSIP COURT WELLINGTON POINT-GF-LBW-89.075.xml","HG260002 5 MOSSIP COURT WELLINGTON POINT-GF-LBW-89")</f>
        <v/>
      </c>
    </row>
    <row r="76" ht="210" customHeight="1">
      <c r="A76" s="2" t="n">
        <v>75</v>
      </c>
      <c r="B76" s="2" t="inlineStr">
        <is>
          <t>L</t>
        </is>
      </c>
      <c r="C76" s="2" t="inlineStr">
        <is>
          <t>Lintel/sill (L)</t>
        </is>
      </c>
      <c r="D76" s="2" t="inlineStr">
        <is>
          <t>89mm</t>
        </is>
      </c>
      <c r="E76" s="2" t="inlineStr">
        <is>
          <t>Always</t>
        </is>
      </c>
      <c r="F76" s="2" t="inlineStr">
        <is>
          <t>End InnerDimple at length-58.5</t>
        </is>
      </c>
      <c r="G76" s="4" t="inlineStr">
        <is>
          <t>Spec'd</t>
        </is>
      </c>
      <c r="H76" s="2" t="inlineStr">
        <is>
          <t>Detailer User Manual p.101
Mirror of rule 74.</t>
        </is>
      </c>
      <c r="I76" s="5" t="inlineStr">
        <is>
          <t>MINED FROM 1,465 STICKS — overall 49.7% match
"Header @58.5 paired dimple — does Detailer emit it?"
By plan_type:
  LBW                                720/1007  =  71.5%
  NLBW                                 8/458   =   1.7%
By (plan_type, gauge):
  LBW/0.75                           446/599   =  74.5%
  NLBW/0.75                            8/448   =   1.8%
  LBW/0.95                           240/351   =  68.4%
  LBW/1.15                            34/57    =  59.6%
  NLBW/0.95                            0/10    =   0.0%</t>
        </is>
      </c>
      <c r="J76" s="6" t="inlineStr">
        <is>
          <t>HG260002
GF-LBW-89.075
frame L24
stick L3</t>
        </is>
      </c>
      <c r="K76" s="2" t="inlineStr">
        <is>
          <t>(see Source col)</t>
        </is>
      </c>
      <c r="L76" s="2" t="inlineStr">
        <is>
          <t>156 sticks / 22 pairs</t>
        </is>
      </c>
      <c r="M76" s="2" t="inlineStr">
        <is>
          <t>small</t>
        </is>
      </c>
      <c r="N76" s="2" t="inlineStr"/>
      <c r="O76" s="2" t="inlineStr"/>
      <c r="P76" s="7">
        <f>HYPERLINK("file:///C:/Users/Scott/CLAUDE CODE/hytek-rfy-codec/docs/rule-pdfs/rule-75.pdf","rule-75.pdf")</f>
        <v/>
      </c>
      <c r="Q76" s="7">
        <f>HYPERLINK("file:///Y:/(17) 2026 HYTEK PROJECTS/BOWE PROJECTS/HG260002 5 MOSSIP COURT WELLINGTON POINT/06 MANUFACTURING/02 DRAWINGS MANUFACTURING/01 LGS/HG260002 5 MOSSIP COURT WELLINGTON POINT-GF-LBW-89.075.pdf","HG260002 5 MOSSIP COURT WELLINGTON POINT-GF-LBW-89")</f>
        <v/>
      </c>
      <c r="R76" s="2" t="inlineStr"/>
      <c r="S76" s="7">
        <f>HYPERLINK("file:///Y:/(17) 2026 HYTEK PROJECTS/BOWE PROJECTS/HG260002 5 MOSSIP COURT WELLINGTON POINT/03 DETAILING/03 FRAMECAD DETAILER/HG260002 5 MOSSIP COURT WELLINGTON POINT.fcp","HG260002 5 MOSSIP COURT WELLINGTON POINT.fcp")</f>
        <v/>
      </c>
      <c r="T76" s="7">
        <f>HYPERLINK("file:///Y:/(17) 2026 HYTEK PROJECTS/BOWE PROJECTS/HG260002 5 MOSSIP COURT WELLINGTON POINT/03 DETAILING/03 FRAMECAD DETAILER/01 XML OUTPUT/HG260002 5 MOSSIP COURT WELLINGTON POINT-GF-LBW-89.075.xml","HG260002 5 MOSSIP COURT WELLINGTON POINT-GF-LBW-89")</f>
        <v/>
      </c>
    </row>
    <row r="77" ht="22" customHeight="1">
      <c r="A77" s="2" t="n">
        <v>76</v>
      </c>
      <c r="B77" s="2" t="inlineStr">
        <is>
          <t>L</t>
        </is>
      </c>
      <c r="C77" s="2" t="inlineStr">
        <is>
          <t>Lintel/sill (L)</t>
        </is>
      </c>
      <c r="D77" s="2" t="inlineStr">
        <is>
          <t>70mm</t>
        </is>
      </c>
      <c r="E77" s="2" t="inlineStr">
        <is>
          <t>Always</t>
        </is>
      </c>
      <c r="F77" s="2" t="inlineStr">
        <is>
          <t>End InnerDimple at length-16.5</t>
        </is>
      </c>
      <c r="G77" s="3" t="inlineStr">
        <is>
          <t>Yes</t>
        </is>
      </c>
      <c r="H77" s="2" t="inlineStr"/>
      <c r="I77" s="2" t="inlineStr"/>
      <c r="J77" s="2" t="inlineStr"/>
      <c r="K77" s="2" t="inlineStr"/>
      <c r="L77" s="2" t="inlineStr">
        <is>
          <t>—</t>
        </is>
      </c>
      <c r="M77" s="2" t="inlineStr">
        <is>
          <t>—</t>
        </is>
      </c>
      <c r="N77" s="2" t="inlineStr"/>
      <c r="O77" s="2" t="inlineStr"/>
      <c r="P77" s="2" t="inlineStr"/>
      <c r="Q77" s="2" t="inlineStr"/>
      <c r="R77" s="2" t="inlineStr"/>
      <c r="S77" s="2" t="inlineStr"/>
      <c r="T77" s="2" t="inlineStr"/>
    </row>
    <row r="78" ht="22" customHeight="1">
      <c r="A78" s="2" t="n">
        <v>77</v>
      </c>
      <c r="B78" s="2" t="inlineStr">
        <is>
          <t>L</t>
        </is>
      </c>
      <c r="C78" s="2" t="inlineStr">
        <is>
          <t>Lintel/sill (L)</t>
        </is>
      </c>
      <c r="D78" s="2" t="inlineStr">
        <is>
          <t>70mm</t>
        </is>
      </c>
      <c r="E78" s="2" t="inlineStr">
        <is>
          <t>Always</t>
        </is>
      </c>
      <c r="F78" s="2" t="inlineStr">
        <is>
          <t>End InnerNotch span 39mm</t>
        </is>
      </c>
      <c r="G78" s="3" t="inlineStr">
        <is>
          <t>Yes</t>
        </is>
      </c>
      <c r="H78" s="2" t="inlineStr"/>
      <c r="I78" s="2" t="inlineStr"/>
      <c r="J78" s="2" t="inlineStr"/>
      <c r="K78" s="2" t="inlineStr"/>
      <c r="L78" s="2" t="inlineStr">
        <is>
          <t>—</t>
        </is>
      </c>
      <c r="M78" s="2" t="inlineStr">
        <is>
          <t>—</t>
        </is>
      </c>
      <c r="N78" s="2" t="inlineStr"/>
      <c r="O78" s="2" t="inlineStr"/>
      <c r="P78" s="2" t="inlineStr"/>
      <c r="Q78" s="2" t="inlineStr"/>
      <c r="R78" s="2" t="inlineStr"/>
      <c r="S78" s="2" t="inlineStr"/>
      <c r="T78" s="2" t="inlineStr"/>
    </row>
    <row r="79" ht="22" customHeight="1">
      <c r="A79" s="2" t="n">
        <v>78</v>
      </c>
      <c r="B79" s="2" t="inlineStr">
        <is>
          <t>L</t>
        </is>
      </c>
      <c r="C79" s="2" t="inlineStr">
        <is>
          <t>Lintel/sill (L)</t>
        </is>
      </c>
      <c r="D79" s="2" t="inlineStr">
        <is>
          <t>70mm</t>
        </is>
      </c>
      <c r="E79" s="2" t="inlineStr">
        <is>
          <t>Always</t>
        </is>
      </c>
      <c r="F79" s="2" t="inlineStr">
        <is>
          <t>End LipNotch span 39mm</t>
        </is>
      </c>
      <c r="G79" s="3" t="inlineStr">
        <is>
          <t>Yes</t>
        </is>
      </c>
      <c r="H79" s="2" t="inlineStr"/>
      <c r="I79" s="2" t="inlineStr"/>
      <c r="J79" s="2" t="inlineStr"/>
      <c r="K79" s="2" t="inlineStr"/>
      <c r="L79" s="2" t="inlineStr">
        <is>
          <t>—</t>
        </is>
      </c>
      <c r="M79" s="2" t="inlineStr">
        <is>
          <t>—</t>
        </is>
      </c>
      <c r="N79" s="2" t="inlineStr"/>
      <c r="O79" s="2" t="inlineStr"/>
      <c r="P79" s="2" t="inlineStr"/>
      <c r="Q79" s="2" t="inlineStr"/>
      <c r="R79" s="2" t="inlineStr"/>
      <c r="S79" s="2" t="inlineStr"/>
      <c r="T79" s="2" t="inlineStr"/>
    </row>
    <row r="80" ht="210" customHeight="1">
      <c r="A80" s="2" t="n">
        <v>79</v>
      </c>
      <c r="B80" s="2" t="inlineStr">
        <is>
          <t>M</t>
        </is>
      </c>
      <c r="C80" s="2" t="inlineStr">
        <is>
          <t>Brace/Ribbon (Br, R)</t>
        </is>
      </c>
      <c r="D80" s="2" t="inlineStr">
        <is>
          <t>70mm</t>
        </is>
      </c>
      <c r="E80" s="2" t="inlineStr">
        <is>
          <t>Always</t>
        </is>
      </c>
      <c r="F80" s="2" t="inlineStr">
        <is>
          <t>Start Swage span 41mm</t>
        </is>
      </c>
      <c r="G80" s="4" t="inlineStr">
        <is>
          <t>Spec'd</t>
        </is>
      </c>
      <c r="H80" s="2" t="inlineStr">
        <is>
          <t>Detailer User Manual p.29 (Extra Fastenings — used for webbed joists)
MANUAL: 'Extra Fastenings — Places extra flange holes adjacent to dimples for double screwing members. Generally used for webbed joists. Only applicable if machine has flange hole tool available.' Br/R sticks may be webbed-joist-type members. Extra Fastening Distance = 9mm. The 11mm dimple offset may relate to this.</t>
        </is>
      </c>
      <c r="I80" s="5" t="inlineStr">
        <is>
          <t>MINED FROM 194 STICKS — overall 38.1% match
"Br/R has Swage span &gt;=40.5mm (vs standard 39)"
By plan_type:
  TIN                                 74/113   =  65.5%
  TB2B                                 0/81    =   0.0%
By frame_type:
  Truss                               72/192   =  37.5%</t>
        </is>
      </c>
      <c r="J80" s="6" t="inlineStr">
        <is>
          <t>HG260044
GF-TIN-70.075
frame PC2-1
stick R3</t>
        </is>
      </c>
      <c r="K80" s="2" t="inlineStr">
        <is>
          <t>(see Source col)</t>
        </is>
      </c>
      <c r="L80" s="2" t="inlineStr">
        <is>
          <t>194 sticks / 56 pairs</t>
        </is>
      </c>
      <c r="M80" s="2" t="inlineStr">
        <is>
          <t>small</t>
        </is>
      </c>
      <c r="N80" s="2" t="inlineStr"/>
      <c r="O80" s="2" t="inlineStr"/>
      <c r="P80" s="7">
        <f>HYPERLINK("file:///C:/Users/Scott/CLAUDE CODE/hytek-rfy-codec/docs/rule-pdfs/rule-79.pdf","rule-79.pdf")</f>
        <v/>
      </c>
      <c r="Q80" s="7">
        <f>HYPERLINK("file:///Y:/(17) 2026 HYTEK PROJECTS/CORAL HOMES/HG260044 LOT 1810 (14) ELDERBERRY ST UPPER CABOOLTURE/06 MANUFACTURING/02 DRAWINGS MANUFACTURING/01 LGS/HG260044 LOT 1810 (14) ELDERBERRY ST UPPER CABOOLTURE-GF-TIN-70.075.pdf","HG260044 LOT 1810 (14) ELDERBERRY ST UPPER CABOOLT")</f>
        <v/>
      </c>
      <c r="R80" s="2" t="inlineStr"/>
      <c r="S80" s="7">
        <f>HYPERLINK("file:///Y:/(17) 2026 HYTEK PROJECTS/CORAL HOMES/HG260044 LOT 1810 (14) ELDERBERRY ST UPPER CABOOLTURE/03 DETAILING/03 FRAMECAD DETAILER/HG260044 LOT 1810 (14) ELDERBERRY ST UPPER CABOOLTURE.fcp","HG260044 LOT 1810 (14) ELDERBERRY ST UPPER CABOOLT")</f>
        <v/>
      </c>
      <c r="T80" s="7">
        <f>HYPERLINK("file:///Y:/(17) 2026 HYTEK PROJECTS/CORAL HOMES/HG260044 LOT 1810 (14) ELDERBERRY ST UPPER CABOOLTURE/03 DETAILING/03 FRAMECAD DETAILER/01 XML OUTPUT/HG260044 LOT 1810 (14) ELDERBERRY ST UPPER CABOOLTURE-GF-TIN-70.075.xml","HG260044 LOT 1810 (14) ELDERBERRY ST UPPER CABOOLT")</f>
        <v/>
      </c>
    </row>
    <row r="81" ht="154" customHeight="1">
      <c r="A81" s="2" t="n">
        <v>80</v>
      </c>
      <c r="B81" s="2" t="inlineStr">
        <is>
          <t>M</t>
        </is>
      </c>
      <c r="C81" s="2" t="inlineStr">
        <is>
          <t>Brace/Ribbon (Br, R)</t>
        </is>
      </c>
      <c r="D81" s="2" t="inlineStr">
        <is>
          <t>70mm</t>
        </is>
      </c>
      <c r="E81" s="2" t="inlineStr">
        <is>
          <t>Always</t>
        </is>
      </c>
      <c r="F81" s="2" t="inlineStr">
        <is>
          <t>Start InnerDimple at 11mm</t>
        </is>
      </c>
      <c r="G81" s="4" t="inlineStr">
        <is>
          <t>Spec'd</t>
        </is>
      </c>
      <c r="H81" s="2" t="inlineStr">
        <is>
          <t>Detailer User Manual p.29
Same as rule 79 — Extra Fastening Distance (9mm) plus tolerance gives ~11mm.</t>
        </is>
      </c>
      <c r="I81" s="5" t="inlineStr">
        <is>
          <t>MINED FROM 194 STICKS — overall 38.1% match
"Br/R has Swage span &gt;=40.5mm (vs standard 39)"
By plan_type:
  TIN                                 74/113   =  65.5%
  TB2B                                 0/81    =   0.0%
By frame_type:
  Truss                               72/192   =  37.5%</t>
        </is>
      </c>
      <c r="J81" s="6" t="inlineStr">
        <is>
          <t>HG260044
GF-TIN-70.075
frame PC2-1
stick R3</t>
        </is>
      </c>
      <c r="K81" s="2" t="inlineStr">
        <is>
          <t>(see Source col)</t>
        </is>
      </c>
      <c r="L81" s="2" t="inlineStr">
        <is>
          <t>194 sticks / 56 pairs</t>
        </is>
      </c>
      <c r="M81" s="2" t="inlineStr">
        <is>
          <t>small</t>
        </is>
      </c>
      <c r="N81" s="2" t="inlineStr"/>
      <c r="O81" s="2" t="inlineStr"/>
      <c r="P81" s="7">
        <f>HYPERLINK("file:///C:/Users/Scott/CLAUDE CODE/hytek-rfy-codec/docs/rule-pdfs/rule-80.pdf","rule-80.pdf")</f>
        <v/>
      </c>
      <c r="Q81" s="7">
        <f>HYPERLINK("file:///Y:/(17) 2026 HYTEK PROJECTS/CORAL HOMES/HG260044 LOT 1810 (14) ELDERBERRY ST UPPER CABOOLTURE/06 MANUFACTURING/02 DRAWINGS MANUFACTURING/01 LGS/HG260044 LOT 1810 (14) ELDERBERRY ST UPPER CABOOLTURE-GF-TIN-70.075.pdf","HG260044 LOT 1810 (14) ELDERBERRY ST UPPER CABOOLT")</f>
        <v/>
      </c>
      <c r="R81" s="2" t="inlineStr"/>
      <c r="S81" s="7">
        <f>HYPERLINK("file:///Y:/(17) 2026 HYTEK PROJECTS/CORAL HOMES/HG260044 LOT 1810 (14) ELDERBERRY ST UPPER CABOOLTURE/03 DETAILING/03 FRAMECAD DETAILER/HG260044 LOT 1810 (14) ELDERBERRY ST UPPER CABOOLTURE.fcp","HG260044 LOT 1810 (14) ELDERBERRY ST UPPER CABOOLT")</f>
        <v/>
      </c>
      <c r="T81" s="7">
        <f>HYPERLINK("file:///Y:/(17) 2026 HYTEK PROJECTS/CORAL HOMES/HG260044 LOT 1810 (14) ELDERBERRY ST UPPER CABOOLTURE/03 DETAILING/03 FRAMECAD DETAILER/01 XML OUTPUT/HG260044 LOT 1810 (14) ELDERBERRY ST UPPER CABOOLTURE-GF-TIN-70.075.xml","HG260044 LOT 1810 (14) ELDERBERRY ST UPPER CABOOLT")</f>
        <v/>
      </c>
    </row>
    <row r="82" ht="154" customHeight="1">
      <c r="A82" s="2" t="n">
        <v>81</v>
      </c>
      <c r="B82" s="2" t="inlineStr">
        <is>
          <t>M</t>
        </is>
      </c>
      <c r="C82" s="2" t="inlineStr">
        <is>
          <t>Brace/Ribbon (Br, R)</t>
        </is>
      </c>
      <c r="D82" s="2" t="inlineStr">
        <is>
          <t>70mm</t>
        </is>
      </c>
      <c r="E82" s="2" t="inlineStr">
        <is>
          <t>Always</t>
        </is>
      </c>
      <c r="F82" s="2" t="inlineStr">
        <is>
          <t>End Swage span 41mm</t>
        </is>
      </c>
      <c r="G82" s="4" t="inlineStr">
        <is>
          <t>Spec'd</t>
        </is>
      </c>
      <c r="H82" s="2" t="inlineStr">
        <is>
          <t>Detailer User Manual p.29
Same as rule 79 — mirror at end.</t>
        </is>
      </c>
      <c r="I82" s="5" t="inlineStr">
        <is>
          <t>MINED FROM 194 STICKS — overall 38.1% match
"Br/R has Swage span &gt;=40.5mm (vs standard 39)"
By plan_type:
  TIN                                 74/113   =  65.5%
  TB2B                                 0/81    =   0.0%
By frame_type:
  Truss                               72/192   =  37.5%</t>
        </is>
      </c>
      <c r="J82" s="6" t="inlineStr">
        <is>
          <t>HG260044
GF-TIN-70.075
frame PC2-1
stick R3</t>
        </is>
      </c>
      <c r="K82" s="2" t="inlineStr">
        <is>
          <t>(see Source col)</t>
        </is>
      </c>
      <c r="L82" s="2" t="inlineStr">
        <is>
          <t>194 sticks / 56 pairs</t>
        </is>
      </c>
      <c r="M82" s="2" t="inlineStr">
        <is>
          <t>small</t>
        </is>
      </c>
      <c r="N82" s="2" t="inlineStr"/>
      <c r="O82" s="2" t="inlineStr"/>
      <c r="P82" s="7">
        <f>HYPERLINK("file:///C:/Users/Scott/CLAUDE CODE/hytek-rfy-codec/docs/rule-pdfs/rule-81.pdf","rule-81.pdf")</f>
        <v/>
      </c>
      <c r="Q82" s="7">
        <f>HYPERLINK("file:///Y:/(17) 2026 HYTEK PROJECTS/CORAL HOMES/HG260044 LOT 1810 (14) ELDERBERRY ST UPPER CABOOLTURE/06 MANUFACTURING/02 DRAWINGS MANUFACTURING/01 LGS/HG260044 LOT 1810 (14) ELDERBERRY ST UPPER CABOOLTURE-GF-TIN-70.075.pdf","HG260044 LOT 1810 (14) ELDERBERRY ST UPPER CABOOLT")</f>
        <v/>
      </c>
      <c r="R82" s="2" t="inlineStr"/>
      <c r="S82" s="7">
        <f>HYPERLINK("file:///Y:/(17) 2026 HYTEK PROJECTS/CORAL HOMES/HG260044 LOT 1810 (14) ELDERBERRY ST UPPER CABOOLTURE/03 DETAILING/03 FRAMECAD DETAILER/HG260044 LOT 1810 (14) ELDERBERRY ST UPPER CABOOLTURE.fcp","HG260044 LOT 1810 (14) ELDERBERRY ST UPPER CABOOLT")</f>
        <v/>
      </c>
      <c r="T82" s="7">
        <f>HYPERLINK("file:///Y:/(17) 2026 HYTEK PROJECTS/CORAL HOMES/HG260044 LOT 1810 (14) ELDERBERRY ST UPPER CABOOLTURE/03 DETAILING/03 FRAMECAD DETAILER/01 XML OUTPUT/HG260044 LOT 1810 (14) ELDERBERRY ST UPPER CABOOLTURE-GF-TIN-70.075.xml","HG260044 LOT 1810 (14) ELDERBERRY ST UPPER CABOOLT")</f>
        <v/>
      </c>
    </row>
    <row r="83" ht="154" customHeight="1">
      <c r="A83" s="2" t="n">
        <v>82</v>
      </c>
      <c r="B83" s="2" t="inlineStr">
        <is>
          <t>M</t>
        </is>
      </c>
      <c r="C83" s="2" t="inlineStr">
        <is>
          <t>Brace/Ribbon (Br, R)</t>
        </is>
      </c>
      <c r="D83" s="2" t="inlineStr">
        <is>
          <t>70mm</t>
        </is>
      </c>
      <c r="E83" s="2" t="inlineStr">
        <is>
          <t>Always</t>
        </is>
      </c>
      <c r="F83" s="2" t="inlineStr">
        <is>
          <t>End InnerDimple at length-11</t>
        </is>
      </c>
      <c r="G83" s="4" t="inlineStr">
        <is>
          <t>Spec'd</t>
        </is>
      </c>
      <c r="H83" s="2" t="inlineStr">
        <is>
          <t>Detailer User Manual p.29
Same as rule 80 — mirror at end.</t>
        </is>
      </c>
      <c r="I83" s="5" t="inlineStr">
        <is>
          <t>MINED FROM 194 STICKS — overall 38.1% match
"Br/R has Swage span &gt;=40.5mm (vs standard 39)"
By plan_type:
  TIN                                 74/113   =  65.5%
  TB2B                                 0/81    =   0.0%
By frame_type:
  Truss                               72/192   =  37.5%</t>
        </is>
      </c>
      <c r="J83" s="6" t="inlineStr">
        <is>
          <t>HG260044
GF-TIN-70.075
frame PC2-1
stick R3</t>
        </is>
      </c>
      <c r="K83" s="2" t="inlineStr">
        <is>
          <t>(see Source col)</t>
        </is>
      </c>
      <c r="L83" s="2" t="inlineStr">
        <is>
          <t>194 sticks / 56 pairs</t>
        </is>
      </c>
      <c r="M83" s="2" t="inlineStr">
        <is>
          <t>small</t>
        </is>
      </c>
      <c r="N83" s="2" t="inlineStr"/>
      <c r="O83" s="2" t="inlineStr"/>
      <c r="P83" s="7">
        <f>HYPERLINK("file:///C:/Users/Scott/CLAUDE CODE/hytek-rfy-codec/docs/rule-pdfs/rule-82.pdf","rule-82.pdf")</f>
        <v/>
      </c>
      <c r="Q83" s="7">
        <f>HYPERLINK("file:///Y:/(17) 2026 HYTEK PROJECTS/CORAL HOMES/HG260044 LOT 1810 (14) ELDERBERRY ST UPPER CABOOLTURE/06 MANUFACTURING/02 DRAWINGS MANUFACTURING/01 LGS/HG260044 LOT 1810 (14) ELDERBERRY ST UPPER CABOOLTURE-GF-TIN-70.075.pdf","HG260044 LOT 1810 (14) ELDERBERRY ST UPPER CABOOLT")</f>
        <v/>
      </c>
      <c r="R83" s="2" t="inlineStr"/>
      <c r="S83" s="7">
        <f>HYPERLINK("file:///Y:/(17) 2026 HYTEK PROJECTS/CORAL HOMES/HG260044 LOT 1810 (14) ELDERBERRY ST UPPER CABOOLTURE/03 DETAILING/03 FRAMECAD DETAILER/HG260044 LOT 1810 (14) ELDERBERRY ST UPPER CABOOLTURE.fcp","HG260044 LOT 1810 (14) ELDERBERRY ST UPPER CABOOLT")</f>
        <v/>
      </c>
      <c r="T83" s="7">
        <f>HYPERLINK("file:///Y:/(17) 2026 HYTEK PROJECTS/CORAL HOMES/HG260044 LOT 1810 (14) ELDERBERRY ST UPPER CABOOLTURE/03 DETAILING/03 FRAMECAD DETAILER/01 XML OUTPUT/HG260044 LOT 1810 (14) ELDERBERRY ST UPPER CABOOLTURE-GF-TIN-70.075.xml","HG260044 LOT 1810 (14) ELDERBERRY ST UPPER CABOOLT")</f>
        <v/>
      </c>
    </row>
    <row r="84" ht="140" customHeight="1">
      <c r="A84" s="2" t="n">
        <v>83</v>
      </c>
      <c r="B84" s="2" t="inlineStr">
        <is>
          <t>N</t>
        </is>
      </c>
      <c r="C84" s="2" t="inlineStr">
        <is>
          <t>Crossings: plate over stud</t>
        </is>
      </c>
      <c r="D84" s="2" t="inlineStr">
        <is>
          <t>All</t>
        </is>
      </c>
      <c r="E84" s="2" t="inlineStr">
        <is>
          <t>Stud crosses plate</t>
        </is>
      </c>
      <c r="F84" s="2" t="inlineStr">
        <is>
          <t>Plate gets LipNotch + InnerDimple at every stud's x-coord</t>
        </is>
      </c>
      <c r="G84" s="8" t="inlineStr">
        <is>
          <t>No</t>
        </is>
      </c>
      <c r="H84" s="2" t="inlineStr"/>
      <c r="I84" s="2" t="inlineStr"/>
      <c r="J84" s="6" t="inlineStr">
        <is>
          <t>HG260002
GF-RP-70.075
frame R1
stick T1</t>
        </is>
      </c>
      <c r="K84" s="2" t="inlineStr">
        <is>
          <t>At a stud-plate crossing, what tool does Detailer emit on the plate (LipNotch / InnerNotch / Web)? What's the discriminator?</t>
        </is>
      </c>
      <c r="L84" s="2" t="inlineStr">
        <is>
          <t>13,169 sticks / 381 pairs</t>
        </is>
      </c>
      <c r="M84" s="2" t="inlineStr">
        <is>
          <t>moderate</t>
        </is>
      </c>
      <c r="N84" s="2" t="inlineStr">
        <is>
          <t>WHAT WE EMIT: Where a stud crosses a top or bottom plate, the plate gets a LipNotch (39mm spanned) + InnerDimple at the stud's x-coordinate. Position is computed from each stick's outline corners (the elevation graphics in the XML).
WHAT DETAILER DOES: Position is mostly RIGHT (within ~5mm). The TOOL TYPE is sometimes wrong on RP plans — Detailer uses InnerNotch where we use LipNotch, or Web where we use neither.
WHAT I NEED FROM YOU: At a stud-plate crossing, what tool does Detailer emit and what determines the type? Always LipNotch on T/B? Or does the stud type (Kb vs S) flip it? Plan-type-specific?</t>
        </is>
      </c>
      <c r="O84" s="9" t="inlineStr">
        <is>
          <t xml:space="preserve">THE RULE SHOULD FIRE WHEN: 
THE VALUES ARE: 
IT SHOULD NOT FIRE WHEN: 
WHY (physical reason): </t>
        </is>
      </c>
      <c r="P84" s="7">
        <f>HYPERLINK("file:///C:/Users/Scott/CLAUDE CODE/hytek-rfy-codec/docs/rule-pdfs/rule-83.pdf","rule-83.pdf")</f>
        <v/>
      </c>
      <c r="Q84" s="7">
        <f>HYPERLINK("file:///Y:/(17) 2026 HYTEK PROJECTS/BOWE PROJECTS/HG260002 5 MOSSIP COURT WELLINGTON POINT/06 MANUFACTURING/02 DRAWINGS MANUFACTURING/01 LGS/HG260002 5 MOSSIP COURT WELLINGTON POINT-GF-RP-70.075.pdf","HG260002 5 MOSSIP COURT WELLINGTON POINT-GF-RP-70.")</f>
        <v/>
      </c>
      <c r="R84" s="2" t="inlineStr"/>
      <c r="S84" s="7">
        <f>HYPERLINK("file:///Y:/(17) 2026 HYTEK PROJECTS/BOWE PROJECTS/HG260002 5 MOSSIP COURT WELLINGTON POINT/03 DETAILING/03 FRAMECAD DETAILER/HG260002 5 MOSSIP COURT WELLINGTON POINT.fcp","HG260002 5 MOSSIP COURT WELLINGTON POINT.fcp")</f>
        <v/>
      </c>
      <c r="T84" s="7">
        <f>HYPERLINK("file:///Y:/(17) 2026 HYTEK PROJECTS/BOWE PROJECTS/HG260002 5 MOSSIP COURT WELLINGTON POINT/03 DETAILING/03 FRAMECAD DETAILER/01 XML OUTPUT/HG260002 5 MOSSIP COURT WELLINGTON POINT-GF-RP-70.075.xml","HG260002 5 MOSSIP COURT WELLINGTON POINT-GF-RP-70.")</f>
        <v/>
      </c>
    </row>
    <row r="85" ht="140" customHeight="1">
      <c r="A85" s="2" t="n">
        <v>84</v>
      </c>
      <c r="B85" s="2" t="inlineStr">
        <is>
          <t>N</t>
        </is>
      </c>
      <c r="C85" s="2" t="inlineStr">
        <is>
          <t>Crossings: stud over nog</t>
        </is>
      </c>
      <c r="D85" s="2" t="inlineStr">
        <is>
          <t>All</t>
        </is>
      </c>
      <c r="E85" s="2" t="inlineStr">
        <is>
          <t>Nog crosses stud</t>
        </is>
      </c>
      <c r="F85" s="2" t="inlineStr">
        <is>
          <t>Stud gets LipNotch + InnerDimple at every nog's y-coord</t>
        </is>
      </c>
      <c r="G85" s="8" t="inlineStr">
        <is>
          <t>No</t>
        </is>
      </c>
      <c r="H85" s="2" t="inlineStr"/>
      <c r="I85" s="2" t="inlineStr"/>
      <c r="J85" s="6" t="inlineStr">
        <is>
          <t>HG260001
GF-LBW-70.075
frame PK4-L4
stick S5</t>
        </is>
      </c>
      <c r="K85" s="2" t="inlineStr">
        <is>
          <t>At a nog-stud crossing, what tool does Detailer emit on the stud?</t>
        </is>
      </c>
      <c r="L85" s="2" t="inlineStr">
        <is>
          <t>27,042 sticks / 236 pairs</t>
        </is>
      </c>
      <c r="M85" s="2" t="inlineStr">
        <is>
          <t>small</t>
        </is>
      </c>
      <c r="N85" s="2" t="inlineStr">
        <is>
          <t>Same kind of issue as rule 83 — at a nog-stud crossing, what tool does Detailer put on the stud?</t>
        </is>
      </c>
      <c r="O85" s="9" t="inlineStr">
        <is>
          <t xml:space="preserve">THE RULE SHOULD FIRE WHEN: 
THE VALUES ARE: 
IT SHOULD NOT FIRE WHEN: 
WHY (physical reason): </t>
        </is>
      </c>
      <c r="P85" s="7">
        <f>HYPERLINK("file:///C:/Users/Scott/CLAUDE CODE/hytek-rfy-codec/docs/rule-pdfs/rule-84.pdf","rule-84.pdf")</f>
        <v/>
      </c>
      <c r="Q85" s="7">
        <f>HYPERLINK("file:///Y:/(17) 2026 HYTEK PROJECTS/CORAL HOMES/HG260001 LOT 289 (29) COORA CRESENT CURRIMUNDI/06 MANUFACTURING/02 DRAWINGS MANUFACTURING/01 LGS/HG260001 LOT 289 COORA CRESCENT CURRIMUNDI 4551-GF-LBW-70.075.pdf","HG260001 LOT 289 COORA CRESCENT CURRIMUNDI 4551-GF")</f>
        <v/>
      </c>
      <c r="R85" s="7">
        <f>HYPERLINK("file:///Y:/(17) 2026 HYTEK PROJECTS/CORAL HOMES/HG260001 LOT 289 (29) COORA CRESENT CURRIMUNDI/01 PROJECT DOCUMENTATION/02 CURRENT DOCS/01 PDF/CONSTRUCTION DETAILS.pdf","CONSTRUCTION DETAILS.pdf")</f>
        <v/>
      </c>
      <c r="S85" s="7">
        <f>HYPERLINK("file:///Y:/(17) 2026 HYTEK PROJECTS/CORAL HOMES/HG260001 LOT 289 (29) COORA CRESENT CURRIMUNDI/03 DETAILING/03 FRAMECAD DETAILER/HG260001 LOT 289 (29) COORA CRESENT CURRIMUNDI.fcp","HG260001 LOT 289 (29) COORA CRESENT CURRIMUNDI.fcp")</f>
        <v/>
      </c>
      <c r="T85" s="7">
        <f>HYPERLINK("file:///Y:/(17) 2026 HYTEK PROJECTS/CORAL HOMES/HG260001 LOT 289 (29) COORA CRESENT CURRIMUNDI/03 DETAILING/03 FRAMECAD DETAILER/01 XML OUTPUT/HG260001 LOT 289 COORA CRESCENT CURRIMUNDI 4551-GF-LBW-70.075.xml","HG260001 LOT 289 COORA CRESCENT CURRIMUNDI 4551-GF")</f>
        <v/>
      </c>
    </row>
    <row r="86" ht="140" customHeight="1">
      <c r="A86" s="2" t="n">
        <v>85</v>
      </c>
      <c r="B86" s="2" t="inlineStr">
        <is>
          <t>N</t>
        </is>
      </c>
      <c r="C86" s="2" t="inlineStr">
        <is>
          <t>Crossings: nog over stud</t>
        </is>
      </c>
      <c r="D86" s="2" t="inlineStr">
        <is>
          <t>All</t>
        </is>
      </c>
      <c r="E86" s="2" t="inlineStr">
        <is>
          <t>Stud crosses nog</t>
        </is>
      </c>
      <c r="F86" s="2" t="inlineStr">
        <is>
          <t>Nog gets Web + LipNotch + InnerDimple at every stud's x-coord</t>
        </is>
      </c>
      <c r="G86" s="8" t="inlineStr">
        <is>
          <t>No</t>
        </is>
      </c>
      <c r="H86" s="2" t="inlineStr"/>
      <c r="I86" s="2" t="inlineStr"/>
      <c r="J86" s="6" t="inlineStr">
        <is>
          <t>HG260001
GF-LBW-70.075
frame PK4-L4
stick N1</t>
        </is>
      </c>
      <c r="K86" s="2" t="inlineStr">
        <is>
          <t>At a stud-nog crossing, do all three (Web + LipNotch + InnerDimple) always fire?</t>
        </is>
      </c>
      <c r="L86" s="2" t="inlineStr">
        <is>
          <t>6,679 sticks / 219 pairs</t>
        </is>
      </c>
      <c r="M86" s="2" t="inlineStr">
        <is>
          <t>small</t>
        </is>
      </c>
      <c r="N86" s="2" t="inlineStr">
        <is>
          <t>Same kind of issue as rule 83 — at a stud-nog crossing, do all three (Web + LipNotch + InnerDimple) always fire, or do some plans/configurations skip?</t>
        </is>
      </c>
      <c r="O86" s="9" t="inlineStr">
        <is>
          <t xml:space="preserve">THE RULE SHOULD FIRE WHEN: 
THE VALUES ARE: 
IT SHOULD NOT FIRE WHEN: 
WHY (physical reason): </t>
        </is>
      </c>
      <c r="P86" s="7">
        <f>HYPERLINK("file:///C:/Users/Scott/CLAUDE CODE/hytek-rfy-codec/docs/rule-pdfs/rule-85.pdf","rule-85.pdf")</f>
        <v/>
      </c>
      <c r="Q86" s="7">
        <f>HYPERLINK("file:///Y:/(17) 2026 HYTEK PROJECTS/CORAL HOMES/HG260001 LOT 289 (29) COORA CRESENT CURRIMUNDI/06 MANUFACTURING/02 DRAWINGS MANUFACTURING/01 LGS/HG260001 LOT 289 COORA CRESCENT CURRIMUNDI 4551-GF-LBW-70.075.pdf","HG260001 LOT 289 COORA CRESCENT CURRIMUNDI 4551-GF")</f>
        <v/>
      </c>
      <c r="R86" s="7">
        <f>HYPERLINK("file:///Y:/(17) 2026 HYTEK PROJECTS/CORAL HOMES/HG260001 LOT 289 (29) COORA CRESENT CURRIMUNDI/01 PROJECT DOCUMENTATION/02 CURRENT DOCS/01 PDF/CONSTRUCTION DETAILS.pdf","CONSTRUCTION DETAILS.pdf")</f>
        <v/>
      </c>
      <c r="S86" s="7">
        <f>HYPERLINK("file:///Y:/(17) 2026 HYTEK PROJECTS/CORAL HOMES/HG260001 LOT 289 (29) COORA CRESENT CURRIMUNDI/03 DETAILING/03 FRAMECAD DETAILER/HG260001 LOT 289 (29) COORA CRESENT CURRIMUNDI.fcp","HG260001 LOT 289 (29) COORA CRESENT CURRIMUNDI.fcp")</f>
        <v/>
      </c>
      <c r="T86" s="7">
        <f>HYPERLINK("file:///Y:/(17) 2026 HYTEK PROJECTS/CORAL HOMES/HG260001 LOT 289 (29) COORA CRESENT CURRIMUNDI/03 DETAILING/03 FRAMECAD DETAILER/01 XML OUTPUT/HG260001 LOT 289 COORA CRESCENT CURRIMUNDI 4551-GF-LBW-70.075.xml","HG260001 LOT 289 COORA CRESCENT CURRIMUNDI 4551-GF")</f>
        <v/>
      </c>
    </row>
    <row r="87" ht="260" customHeight="1">
      <c r="A87" s="2" t="n">
        <v>86</v>
      </c>
      <c r="B87" s="2" t="inlineStr">
        <is>
          <t>N</t>
        </is>
      </c>
      <c r="C87" s="2" t="inlineStr">
        <is>
          <t>Crossings: truss panel-points</t>
        </is>
      </c>
      <c r="D87" s="2" t="inlineStr">
        <is>
          <t>All</t>
        </is>
      </c>
      <c r="E87" s="2" t="inlineStr">
        <is>
          <t>Web stick projects onto chord</t>
        </is>
      </c>
      <c r="F87" s="2" t="inlineStr">
        <is>
          <t>NOT EMITTED — paired InnerDimples + 47mm-wide LipNotch</t>
        </is>
      </c>
      <c r="G87" s="4" t="inlineStr">
        <is>
          <t>Spec'd</t>
        </is>
      </c>
      <c r="H87" s="2" t="inlineStr">
        <is>
          <t>fc-dat-rules.ts: cenCenWbHole + bcDistCenHole + webIncrements + horizChdCenHole (per-profile) + Detailer User Manual: Auto Build / truss scripts
Implement panel-point detector: for each Web stick endpoint, project onto the chord centerline. Emit paired InnerDimples at +/- bcDistCenHole (50mm for 70mm normal-axis, 45mm for 89mm) and a LipNotch perpendicular to the chord. Suppress if two panel-points are within cenCenWbHole=120mm. Empirical: 94.9% on TIN, 100% on FJ, 5.8% on TB2B (TB2B uses different rule).</t>
        </is>
      </c>
      <c r="I87" s="5" t="inlineStr">
        <is>
          <t>MINED FROM 2,461 STICKS — overall 67.7% match
"Truss chord has panel-point dimples (&gt;2 InnerDimple per metre)"
By plan_type:
  TIN                               1251/1318  =  94.9%
  TB2B                                45/773   =   5.8%
  FJ                                 370/370   = 100.0%
By frame_type:
  Truss                             1288/2083  =  61.8%
  Joist                              370/370   = 100.0%
  Miscellaneous                        8/8     = 100.0%</t>
        </is>
      </c>
      <c r="J87" s="6" t="inlineStr">
        <is>
          <t>HG250011
GF-TIN-70.075
frame PC1-1
stick T2</t>
        </is>
      </c>
      <c r="K87" s="2" t="inlineStr">
        <is>
          <t>(see Source col)</t>
        </is>
      </c>
      <c r="L87" s="2" t="inlineStr">
        <is>
          <t>2,091 sticks / 141 pairs</t>
        </is>
      </c>
      <c r="M87" s="2" t="inlineStr">
        <is>
          <t>+13pp on TIN (BIGGEST single gap)</t>
        </is>
      </c>
      <c r="N87" s="2" t="inlineStr"/>
      <c r="O87" s="2" t="inlineStr"/>
      <c r="P87" s="7">
        <f>HYPERLINK("file:///C:/Users/Scott/CLAUDE CODE/hytek-rfy-codec/docs/rule-pdfs/rule-86.pdf","rule-86.pdf")</f>
        <v/>
      </c>
      <c r="Q87" s="7">
        <f>HYPERLINK("file:///Y:/(14) 2025 HYTEK PROJECTS/CORAL HOMES/HG250011 LOT 57 (5) NEVIS COURT D'AGUILAR/06 MANUFACTURING/02 DRAWINGS MANUFACTURING/01 LGS/SS 20250801/HG250011 LOT 57 (5) NEVIS COURT D AGUILAR Rev 1-GF-TIN-70.075.pdf","HG250011 LOT 57 (5) NEVIS COURT D AGUILAR Rev 1-GF")</f>
        <v/>
      </c>
      <c r="R87" s="7">
        <f>HYPERLINK("file:///Y:/(14) 2025 HYTEK PROJECTS/CORAL HOMES/HG250011 LOT 57 (5) NEVIS COURT D'AGUILAR/01 PROJECT DOCUMENTATION/02 CURRENT DOCS/01 PDF/CONSTRUCTION DETAILS.pdf","CONSTRUCTION DETAILS.pdf")</f>
        <v/>
      </c>
      <c r="S87" s="7">
        <f>HYPERLINK("file:///Y:/(14) 2025 HYTEK PROJECTS/CORAL HOMES/HG250011 LOT 57 (5) NEVIS COURT D'AGUILAR/03 DETAILING/03 FRAMECAD DETAILER/HG250011 LOT 57 (5) NEVIS COURT D AGUILAR Rev 1.fcp","HG250011 LOT 57 (5) NEVIS COURT D AGUILAR Rev 1.fc")</f>
        <v/>
      </c>
      <c r="T87" s="7">
        <f>HYPERLINK("file:///Y:/(14) 2025 HYTEK PROJECTS/CORAL HOMES/HG250011 LOT 57 (5) NEVIS COURT D'AGUILAR/03 DETAILING/03 FRAMECAD DETAILER/01 XML OUTPUT/HG250011 LOT 57 (5) NEVIS COURT D AGUILAR Rev 1-GF-TIN-70.075.xml","HG250011 LOT 57 (5) NEVIS COURT D AGUILAR Rev 1-GF")</f>
        <v/>
      </c>
    </row>
    <row r="88" ht="234" customHeight="1">
      <c r="A88" s="2" t="n">
        <v>87</v>
      </c>
      <c r="B88" s="2" t="inlineStr">
        <is>
          <t>O</t>
        </is>
      </c>
      <c r="C88" s="2" t="inlineStr">
        <is>
          <t>Simplifier: simplify-rp.ts</t>
        </is>
      </c>
      <c r="D88" s="2" t="inlineStr">
        <is>
          <t>All</t>
        </is>
      </c>
      <c r="E88" s="2" t="inlineStr">
        <is>
          <t>-RP- plans</t>
        </is>
      </c>
      <c r="F88" s="2" t="inlineStr">
        <is>
          <t>Rewrites caps to chord-style on T/B/N + plate-over-plate on S</t>
        </is>
      </c>
      <c r="G88" s="8" t="inlineStr">
        <is>
          <t>No</t>
        </is>
      </c>
      <c r="H88" s="2" t="inlineStr"/>
      <c r="I88" s="5" t="inlineStr">
        <is>
          <t>MINED FROM 1,154 STICKS — overall 1.2% match
"RP T-plate has stud-style cap (Dimple@78.5) — opposite of chord-style"
By frame_type:
  RoofPanel                           14/1154  =   1.2%
By (plan_type, gauge):
  RP/0.75                              4/1071  =   0.4%
  RP/0.95                             10/76    =  13.2%
  RP/1.15                              0/7     =   0.0%</t>
        </is>
      </c>
      <c r="J88" s="6" t="inlineStr">
        <is>
          <t>HG260006
GF-RP-70.075
frame R1
stick T1</t>
        </is>
      </c>
      <c r="K88" s="2" t="inlineStr">
        <is>
          <t>What discriminates an RP frame that gets chord-style caps vs one that gets stud-style caps?</t>
        </is>
      </c>
      <c r="L88" s="2" t="inlineStr">
        <is>
          <t>7,601 sticks / 50 pairs</t>
        </is>
      </c>
      <c r="M88" s="2" t="inlineStr">
        <is>
          <t>moderate (~+8pp on RP)</t>
        </is>
      </c>
      <c r="N88" s="2" t="inlineStr">
        <is>
          <t>WHAT WE EMIT: For RP plans, the simplifier rewrites T/B/N plate caps to chord-style (Chamfer + ID@10) and S studs to plate-over-plate notch (Swage 56..101 + ID@78.5).
WHAT DETAILER DOES: HALF the 50-pair RP corpus uses chord-style caps (matches our simplifier). The OTHER HALF uses STUD-STYLE caps on T/B/N (LipNotch 56..101 + ID@78.5 + ID@170.5...). Same letter, same plan type, different cap regime. Our simplifier helps the first group by 15+pp; HURTS the second by up to 36pp.
EXAMPLES: HG260001 GF-RP-70.075 has chord-style T plates (we help). HG260006 GF-RP-70.075 has stud-style T plates (we hurt — 33%-&gt;69% if disabled).
MY HYPOTHESES: (a) edge of panel vs middle, (b) single-bay vs multi-bay, (c) frame skew angle, (d) some XML attribute we don't read.
WHAT I NEED FROM YOU: What physically separates an RP frame that gets chord-style caps from one that gets stud-style?</t>
        </is>
      </c>
      <c r="O88" s="9" t="inlineStr">
        <is>
          <t xml:space="preserve">THE RULE SHOULD FIRE WHEN: 
THE VALUES ARE: 
IT SHOULD NOT FIRE WHEN: 
WHY (physical reason): </t>
        </is>
      </c>
      <c r="P88" s="7">
        <f>HYPERLINK("file:///C:/Users/Scott/CLAUDE CODE/hytek-rfy-codec/docs/rule-pdfs/rule-87.pdf","rule-87.pdf")</f>
        <v/>
      </c>
      <c r="Q88" s="7">
        <f>HYPERLINK("file:///Y:/(17) 2026 HYTEK PROJECTS/BRISBANE HOMES/HG260006 LOT 13 (432) BECKETT ROAD BRIDGEMAN DOWNS/06 MANUFACTURING/06 REWORK/HG260006-001 - ROOF PANELS AND TRUSS/02 LAYOUTS/HG260006 LOT 13 (433) BECKETT ROAD BRIDGEMAN DOWNS-GF-RP-70.075.pdf","HG260006 LOT 13 (433) BECKETT ROAD BRIDGEMAN DOWNS")</f>
        <v/>
      </c>
      <c r="R88" s="2" t="inlineStr"/>
      <c r="S88" s="7">
        <f>HYPERLINK("file:///Y:/(17) 2026 HYTEK PROJECTS/BRISBANE HOMES/HG260006 LOT 13 (432) BECKETT ROAD BRIDGEMAN DOWNS/03 DETAILING/03 FRAMECAD DETAILER/HG260006 LOT 13 (433) BECKETT ROAD BRIDGEMAN DOWNS REWORK.fcp","HG260006 LOT 13 (433) BECKETT ROAD BRIDGEMAN DOWNS")</f>
        <v/>
      </c>
      <c r="T88" s="7">
        <f>HYPERLINK("file:///Y:/(17) 2026 HYTEK PROJECTS/BRISBANE HOMES/HG260006 LOT 13 (432) BECKETT ROAD BRIDGEMAN DOWNS/03 DETAILING/03 FRAMECAD DETAILER/01 XML OUTPUT/HG260006 LOT 13 (433) BECKETT ROAD BRIDGEMAN DOWNS-GF-RP-70.075.xml","HG260006 LOT 13 (433) BECKETT ROAD BRIDGEMAN DOWNS")</f>
        <v/>
      </c>
    </row>
    <row r="89" ht="22" customHeight="1">
      <c r="A89" s="2" t="n">
        <v>88</v>
      </c>
      <c r="B89" s="2" t="inlineStr">
        <is>
          <t>O</t>
        </is>
      </c>
      <c r="C89" s="2" t="inlineStr">
        <is>
          <t>Simplifier: simplify-tin-truss.ts</t>
        </is>
      </c>
      <c r="D89" s="2" t="inlineStr">
        <is>
          <t>All</t>
        </is>
      </c>
      <c r="E89" s="2" t="inlineStr">
        <is>
          <t>-TIN- plans</t>
        </is>
      </c>
      <c r="F89" s="2" t="inlineStr">
        <is>
          <t>H-stick LipNotch-&gt;Swage substitution</t>
        </is>
      </c>
      <c r="G89" s="3" t="inlineStr">
        <is>
          <t>Yes</t>
        </is>
      </c>
      <c r="H89" s="2" t="inlineStr"/>
      <c r="I89" s="2" t="inlineStr"/>
      <c r="J89" s="2" t="inlineStr"/>
      <c r="K89" s="2" t="inlineStr"/>
      <c r="L89" s="2" t="inlineStr">
        <is>
          <t>—</t>
        </is>
      </c>
      <c r="M89" s="2" t="inlineStr">
        <is>
          <t>—</t>
        </is>
      </c>
      <c r="N89" s="2" t="inlineStr"/>
      <c r="O89" s="2" t="inlineStr"/>
      <c r="P89" s="2" t="inlineStr"/>
      <c r="Q89" s="2" t="inlineStr"/>
      <c r="R89" s="2" t="inlineStr"/>
      <c r="S89" s="2" t="inlineStr"/>
      <c r="T89" s="2" t="inlineStr"/>
    </row>
    <row r="90" ht="80" customHeight="1">
      <c r="A90" s="2" t="n">
        <v>89</v>
      </c>
      <c r="B90" s="2" t="inlineStr">
        <is>
          <t>O</t>
        </is>
      </c>
      <c r="C90" s="2" t="inlineStr">
        <is>
          <t>Simplifier: simplify-tb2b-truss.ts</t>
        </is>
      </c>
      <c r="D90" s="2" t="inlineStr">
        <is>
          <t>All</t>
        </is>
      </c>
      <c r="E90" s="2" t="inlineStr">
        <is>
          <t>-TB2B- + frame=Truss</t>
        </is>
      </c>
      <c r="F90" s="2" t="inlineStr">
        <is>
          <t>TB2B truss frame cap rewrites</t>
        </is>
      </c>
      <c r="G90" s="4" t="inlineStr">
        <is>
          <t>Spec'd</t>
        </is>
      </c>
      <c r="H90" s="2" t="inlineStr">
        <is>
          <t>docs/tb2b-patch-audit.md (14 patches) + Detailer User Manual: Boxing tab p.34
Port 14 patches from scripts/diff-vs-detailer.mjs to src/. Boxing options (Boxed End Length 70mm, Boxing Max Dimple Spacing 1200mm, Boxing Offset) drive TB2B-specific tooling.</t>
        </is>
      </c>
      <c r="I90" s="2" t="inlineStr"/>
      <c r="J90" s="6" t="inlineStr">
        <is>
          <t>HG260001
GF-TB2B-70.075
frame TN6-6
stick T4</t>
        </is>
      </c>
      <c r="K90" s="2" t="inlineStr">
        <is>
          <t>(see Source col)</t>
        </is>
      </c>
      <c r="L90" s="2" t="inlineStr">
        <is>
          <t>3,617 sticks / 52 pairs</t>
        </is>
      </c>
      <c r="M90" s="2" t="inlineStr">
        <is>
          <t>unknown</t>
        </is>
      </c>
      <c r="N90" s="2" t="inlineStr"/>
      <c r="O90" s="2" t="inlineStr"/>
      <c r="P90" s="7">
        <f>HYPERLINK("file:///C:/Users/Scott/CLAUDE CODE/hytek-rfy-codec/docs/rule-pdfs/rule-89.pdf","rule-89.pdf")</f>
        <v/>
      </c>
      <c r="Q90" s="7">
        <f>HYPERLINK("file:///Y:/(17) 2026 HYTEK PROJECTS/CORAL HOMES/HG260001 LOT 289 (29) COORA CRESENT CURRIMUNDI/06 MANUFACTURING/02 DRAWINGS MANUFACTURING/01 LGS/HG260001 LOT 289 COORA CRESCENT CURRIMUNDI 4551-GF-TB2B-70.075.pdf","HG260001 LOT 289 COORA CRESCENT CURRIMUNDI 4551-GF")</f>
        <v/>
      </c>
      <c r="R90" s="7">
        <f>HYPERLINK("file:///Y:/(17) 2026 HYTEK PROJECTS/CORAL HOMES/HG260001 LOT 289 (29) COORA CRESENT CURRIMUNDI/01 PROJECT DOCUMENTATION/02 CURRENT DOCS/01 PDF/CONSTRUCTION DETAILS.pdf","CONSTRUCTION DETAILS.pdf")</f>
        <v/>
      </c>
      <c r="S90" s="7">
        <f>HYPERLINK("file:///Y:/(17) 2026 HYTEK PROJECTS/CORAL HOMES/HG260001 LOT 289 (29) COORA CRESENT CURRIMUNDI/03 DETAILING/03 FRAMECAD DETAILER/HG260001 LOT 289 (29) COORA CRESENT CURRIMUNDI.fcp","HG260001 LOT 289 (29) COORA CRESENT CURRIMUNDI.fcp")</f>
        <v/>
      </c>
      <c r="T90" s="7">
        <f>HYPERLINK("file:///Y:/(17) 2026 HYTEK PROJECTS/CORAL HOMES/HG260001 LOT 289 (29) COORA CRESENT CURRIMUNDI/03 DETAILING/03 FRAMECAD DETAILER/01 XML OUTPUT/HG260001 LOT 289 COORA CRESCENT CURRIMUNDI 4551-GF-TB2B-70.075.xml","HG260001 LOT 289 COORA CRESCENT CURRIMUNDI 4551-GF")</f>
        <v/>
      </c>
    </row>
    <row r="91" ht="80" customHeight="1">
      <c r="A91" s="2" t="n">
        <v>90</v>
      </c>
      <c r="B91" s="2" t="inlineStr">
        <is>
          <t>O</t>
        </is>
      </c>
      <c r="C91" s="2" t="inlineStr">
        <is>
          <t>Simplifier: simplify-linear-truss.ts</t>
        </is>
      </c>
      <c r="D91" s="2" t="inlineStr">
        <is>
          <t>All</t>
        </is>
      </c>
      <c r="E91" s="2" t="inlineStr">
        <is>
          <t>-LIN- plans</t>
        </is>
      </c>
      <c r="F91" s="2" t="inlineStr">
        <is>
          <t>Bolt-hole pattern at every web-chord crossing</t>
        </is>
      </c>
      <c r="G91" s="4" t="inlineStr">
        <is>
          <t>Spec'd</t>
        </is>
      </c>
      <c r="H91" s="2" t="inlineStr">
        <is>
          <t>fc-dat-rules.ts: profile-2 (Linear) constants
Linear-truss profile has shortenDblesWb=-50, endWbSetback=50, kpTruncated=90 (vs 0 for STD). Rewire src/simplify-linear-truss.ts to read from fc-dat-rules.ts.</t>
        </is>
      </c>
      <c r="I91" s="2" t="inlineStr"/>
      <c r="J91" s="6" t="inlineStr">
        <is>
          <t>HG260043
GF-RP-89.115
frame R1
stick T1</t>
        </is>
      </c>
      <c r="K91" s="2" t="inlineStr">
        <is>
          <t>(see Source col)</t>
        </is>
      </c>
      <c r="L91" s="2" t="inlineStr">
        <is>
          <t>0 sticks / 0 pairs</t>
        </is>
      </c>
      <c r="M91" s="2" t="inlineStr">
        <is>
          <t>unknown</t>
        </is>
      </c>
      <c r="N91" s="2" t="inlineStr"/>
      <c r="O91" s="2" t="inlineStr"/>
      <c r="P91" s="7">
        <f>HYPERLINK("file:///C:/Users/Scott/CLAUDE CODE/hytek-rfy-codec/docs/rule-pdfs/rule-90.pdf","rule-90.pdf")</f>
        <v/>
      </c>
      <c r="Q91" s="7">
        <f>HYPERLINK("file:///Y:/(17) 2026 HYTEK PROJECTS/POWERHOUSE SWITCHROOMS/HG260043 ELLIOT PUMP STATION/06 MANUFACTURING/02 DRAWINGS MANUFACTURING/01 LGS/HG260043 ELLIOT PUMP STATION [C]-GF-RP-89.115.pdf","HG260043 ELLIOT PUMP STATION [C]-GF-RP-89.115.pdf")</f>
        <v/>
      </c>
      <c r="R91" s="2" t="inlineStr"/>
      <c r="S91" s="7">
        <f>HYPERLINK("file:///Y:/(17) 2026 HYTEK PROJECTS/POWERHOUSE SWITCHROOMS/HG260043 ELLIOT PUMP STATION/03 DETAILING/03 FRAMECAD DETAILER/HG260043 ELLIOT PUMP STATION [C].fcp","HG260043 ELLIOT PUMP STATION [C].fcp")</f>
        <v/>
      </c>
      <c r="T91" s="7">
        <f>HYPERLINK("file:///Y:/(17) 2026 HYTEK PROJECTS/POWERHOUSE SWITCHROOMS/HG260043 ELLIOT PUMP STATION/03 DETAILING/03 FRAMECAD DETAILER/01 XML OUTPUT/HG260043 ELLIOT PUMP STATION [C]-GF-RP-89.115.xml","HG260043 ELLIOT PUMP STATION [C]-GF-RP-89.115.xml")</f>
        <v/>
      </c>
    </row>
    <row r="92" ht="224" customHeight="1">
      <c r="A92" s="2" t="n">
        <v>91</v>
      </c>
      <c r="B92" s="2" t="inlineStr">
        <is>
          <t>O</t>
        </is>
      </c>
      <c r="C92" s="2" t="inlineStr">
        <is>
          <t>Simplifier: simplify-wall-service.ts</t>
        </is>
      </c>
      <c r="D92" s="2" t="inlineStr">
        <is>
          <t>All</t>
        </is>
      </c>
      <c r="E92" s="2" t="inlineStr">
        <is>
          <t>-LBW-/-NLBW- plans</t>
        </is>
      </c>
      <c r="F92" s="2" t="inlineStr">
        <is>
          <t>InnerService holes on wall studs</t>
        </is>
      </c>
      <c r="G92" s="4" t="inlineStr">
        <is>
          <t>Spec'd</t>
        </is>
      </c>
      <c r="H92" s="2" t="inlineStr">
        <is>
          <t>Detailer User Manual p.97 + docs/service-z-line-design.md
Same as rules 5/6 — replace blind emission with per-stud z-line projection. Read configured Service Hole Heights per frame; project onto each stud.</t>
        </is>
      </c>
      <c r="I92" s="5" t="inlineStr">
        <is>
          <t>MINED FROM 19,070 STICKS — overall 81.4% match
"Wall stud (&gt;=500mm) gets ANY InnerService — selectivity check"
By plan_type:
  LBW                               9056/11213 =  80.8%
  NLBW                              6470/7857  =  82.3%
By (plan_type, gauge):
  NLBW/0.75                         6438/7786  =  82.7%
  LBW/0.75                          6118/7442  =  82.2%
  LBW/0.95                          2780/3509  =  79.2%
  LBW/1.15                           158/262   =  60.3%
  NLBW/0.95                           32/71    =  45.1%</t>
        </is>
      </c>
      <c r="J92" s="6" t="inlineStr">
        <is>
          <t>HG260010
GF-LBW-70.075
frame L39
stick S7</t>
        </is>
      </c>
      <c r="K92" s="2" t="inlineStr">
        <is>
          <t>(see Source col)</t>
        </is>
      </c>
      <c r="L92" s="2" t="inlineStr">
        <is>
          <t>22,413 sticks / 170 pairs</t>
        </is>
      </c>
      <c r="M92" s="2" t="inlineStr">
        <is>
          <t>moderate</t>
        </is>
      </c>
      <c r="N92" s="2" t="inlineStr"/>
      <c r="O92" s="2" t="inlineStr"/>
      <c r="P92" s="7">
        <f>HYPERLINK("file:///C:/Users/Scott/CLAUDE CODE/hytek-rfy-codec/docs/rule-pdfs/rule-91.pdf","rule-91.pdf")</f>
        <v/>
      </c>
      <c r="Q92" s="7">
        <f>HYPERLINK("file:///Y:/(17) 2026 HYTEK PROJECTS/CORAL HOMES/HG260010 LOT 11 (2) SUNVIEW PLACE SAMFORD VALLEY/06 MANUFACTURING/02 DRAWINGS MANUFACTURING/01 LGS/HG260010 LOT 11 SUNVIEW PLACE SAMFORD VALLEY-GF-LBW-70.075.pdf","HG260010 LOT 11 SUNVIEW PLACE SAMFORD VALLEY-GF-LB")</f>
        <v/>
      </c>
      <c r="R92" s="7">
        <f>HYPERLINK("file:///Y:/(17) 2026 HYTEK PROJECTS/CORAL HOMES/HG260010 LOT 11 (2) SUNVIEW PLACE SAMFORD VALLEY/01 PROJECT DOCUMENTATION/02 CURRENT DOCS/01 PDF/AC LAYOUT.pdf","AC LAYOUT.pdf")</f>
        <v/>
      </c>
      <c r="S92" s="7">
        <f>HYPERLINK("file:///Y:/(17) 2026 HYTEK PROJECTS/CORAL HOMES/HG260010 LOT 11 (2) SUNVIEW PLACE SAMFORD VALLEY/03 DETAILING/03 FRAMECAD DETAILER/HG260010 LOT 11 (2) SUNVIEW PLACE SAMFORD VALLEY.fcp","HG260010 LOT 11 (2) SUNVIEW PLACE SAMFORD VALLEY.f")</f>
        <v/>
      </c>
      <c r="T92" s="7">
        <f>HYPERLINK("file:///Y:/(17) 2026 HYTEK PROJECTS/CORAL HOMES/HG260010 LOT 11 (2) SUNVIEW PLACE SAMFORD VALLEY/03 DETAILING/03 FRAMECAD DETAILER/01 XML OUTPUT/HG260010 LOT 11 SUNVIEW PLACE SAMFORD VALLEY-GF-LBW-70.075.xml","HG260010 LOT 11 SUNVIEW PLACE SAMFORD VALLEY-GF-LB")</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5" customWidth="1" min="1" max="1"/>
    <col width="110" customWidth="1" min="2" max="2"/>
  </cols>
  <sheetData>
    <row r="1">
      <c r="A1" s="10" t="inlineStr">
        <is>
          <t>Codec rule review — V2</t>
        </is>
      </c>
    </row>
    <row r="3">
      <c r="A3" t="inlineStr">
        <is>
          <t>Total rules</t>
        </is>
      </c>
      <c r="B3">
        <f>COUNTA('Codec rules'!A2:A92)</f>
        <v/>
      </c>
    </row>
    <row r="4">
      <c r="A4" t="inlineStr">
        <is>
          <t>Yes — codec emits correctly today</t>
        </is>
      </c>
      <c r="B4" s="11">
        <f>COUNTIF('Codec rules'!G2:G92,"Yes")</f>
        <v/>
      </c>
    </row>
    <row r="5">
      <c r="A5" t="inlineStr">
        <is>
          <t>Spec'd — rule found, needs implementation</t>
        </is>
      </c>
      <c r="B5" s="12">
        <f>COUNTIF('Codec rules'!G2:G92,"Spec'd")</f>
        <v/>
      </c>
    </row>
    <row r="6">
      <c r="A6" t="inlineStr">
        <is>
          <t>No — rule unknown, need Scott</t>
        </is>
      </c>
      <c r="B6" s="13">
        <f>COUNTIF('Codec rules'!G2:G92,"No")</f>
        <v/>
      </c>
    </row>
    <row r="8">
      <c r="A8" s="14" t="inlineStr">
        <is>
          <t>Columns explained</t>
        </is>
      </c>
    </row>
    <row r="9">
      <c r="A9" s="15" t="inlineStr">
        <is>
          <t>Status</t>
        </is>
      </c>
      <c r="B9" t="inlineStr">
        <is>
          <t>Yes (green) = working today. Spec'd (orange) = rule found, codec needs the implementation. No (red) = rule still unknown, needs Scott.</t>
        </is>
      </c>
    </row>
    <row r="10">
      <c r="A10" s="15" t="inlineStr">
        <is>
          <t>Source / what to implement</t>
        </is>
      </c>
      <c r="B10" t="inlineStr">
        <is>
          <t>For Spec'd rows: cites the source file (machine-setups.ts, fc-dat-rules.ts, design doc) and describes what code change is needed.</t>
        </is>
      </c>
    </row>
    <row r="11">
      <c r="A11" s="15" t="inlineStr">
        <is>
          <t>Look up in Detailer</t>
        </is>
      </c>
      <c r="B11" t="inlineStr">
        <is>
          <t>Job + plan + frame label + stick name. Use this to navigate to the same stick in Detailer or in the Manufacturing PDF.</t>
        </is>
      </c>
    </row>
    <row r="12">
      <c r="A12" s="15" t="inlineStr">
        <is>
          <t>Specific question</t>
        </is>
      </c>
      <c r="B12" t="inlineStr">
        <is>
          <t>The bottom-line question I need answered, lifted out of the long-form text.</t>
        </is>
      </c>
    </row>
    <row r="13">
      <c r="A13" s="15" t="inlineStr">
        <is>
          <t>Affected (sticks / pairs)</t>
        </is>
      </c>
      <c r="B13" t="inlineStr">
        <is>
          <t>How many sticks across the 388-pair corpus this rule's gate would fire on. High count = high stakes.</t>
        </is>
      </c>
    </row>
    <row r="14">
      <c r="A14" s="15" t="inlineStr">
        <is>
          <t>Unlocks if fixed</t>
        </is>
      </c>
      <c r="B14" t="inlineStr">
        <is>
          <t>Approximate parity gain if the rule lands correctly. 'small' / 'moderate' / specific pp where known.</t>
        </is>
      </c>
    </row>
    <row r="15">
      <c r="A15" s="15" t="inlineStr">
        <is>
          <t>My uncertainty (long-form)</t>
        </is>
      </c>
      <c r="B15" t="inlineStr">
        <is>
          <t>Full context: what we emit, what Detailer does, my hypothesis, what I need.</t>
        </is>
      </c>
    </row>
    <row r="16">
      <c r="A16" s="15" t="inlineStr">
        <is>
          <t>Scott's correction</t>
        </is>
      </c>
      <c r="B16" t="inlineStr">
        <is>
          <t>Yellow cell with template scaffold — fill the blanks, that's enough for me to update the codec.</t>
        </is>
      </c>
    </row>
    <row r="17">
      <c r="A17" s="15" t="inlineStr">
        <is>
          <t>Diff PDF</t>
        </is>
      </c>
      <c r="B17" t="inlineStr">
        <is>
          <t>Codec emit (top, red = wrong-emit) vs Detailer reference (bottom, red = miss) for the example stick.</t>
        </is>
      </c>
    </row>
    <row r="18">
      <c r="A18" s="15" t="inlineStr">
        <is>
          <t>Manufacturing PDF</t>
        </is>
      </c>
      <c r="B18" t="inlineStr">
        <is>
          <t>FrameCAD-generated frame-elevation PDF for the example plan. Multi-page; scroll to the cited frame.</t>
        </is>
      </c>
    </row>
    <row r="19">
      <c r="A19" s="15" t="inlineStr">
        <is>
          <t>Architectural PDF</t>
        </is>
      </c>
      <c r="B19" t="inlineStr">
        <is>
          <t>Project plans (LBW MARKUP, SLAB DESIGN, CONSTRUCTION DETAILS, AC LAYOUT) — building context.</t>
        </is>
      </c>
    </row>
    <row r="20">
      <c r="A20" s="15" t="inlineStr">
        <is>
          <t>.fcp file</t>
        </is>
      </c>
      <c r="B20" t="inlineStr">
        <is>
          <t>Click to open the Detailer project. Navigate to the cited frame for live tooling.</t>
        </is>
      </c>
    </row>
    <row r="21">
      <c r="A21" s="15" t="inlineStr">
        <is>
          <t>Source XML</t>
        </is>
      </c>
      <c r="B21" t="inlineStr">
        <is>
          <t>Raw XML the codec receives. Inspect to see what input data we have.</t>
        </is>
      </c>
    </row>
    <row r="23">
      <c r="A23" s="14" t="inlineStr">
        <is>
          <t>How to use this workbook</t>
        </is>
      </c>
    </row>
    <row r="24">
      <c r="A24" t="inlineStr">
        <is>
          <t>1. Filter Status column to 'No' (red) — those are the rules where I genuinely need your domain knowledge.</t>
        </is>
      </c>
    </row>
    <row r="25">
      <c r="A25" t="inlineStr">
        <is>
          <t>2. For each No row: click the Diff PDF / Manufacturing PDF / Architectural PDF links to see the issue in context.</t>
        </is>
      </c>
    </row>
    <row r="26">
      <c r="A26" t="inlineStr">
        <is>
          <t>3. Read the Specific question — most are answerable in 1-2 lines.</t>
        </is>
      </c>
    </row>
    <row r="27">
      <c r="A27" t="inlineStr">
        <is>
          <t>4. Fill the yellow correction cell using the template scaffold.</t>
        </is>
      </c>
    </row>
    <row r="28">
      <c r="A28" t="inlineStr">
        <is>
          <t>5. Spec'd rows (orange) are already answered — read Source col if you want the detail. Claude implements them next.</t>
        </is>
      </c>
    </row>
    <row r="29">
      <c r="A29" t="inlineStr"/>
    </row>
    <row r="30">
      <c r="A30" s="14" t="inlineStr">
        <is>
          <t>Path to 90%+ codec parity</t>
        </is>
      </c>
    </row>
    <row r="31">
      <c r="A31" t="inlineStr">
        <is>
          <t>Current codec parity: 77.46% across 388-pair corpus.</t>
        </is>
      </c>
    </row>
    <row r="32">
      <c r="A32" t="inlineStr">
        <is>
          <t>Implementing the 15 Spec'd rules (orange): estimated +15-25pp -&gt; 90%+.</t>
        </is>
      </c>
    </row>
    <row r="33">
      <c r="A33" t="inlineStr">
        <is>
          <t>Answering the 25 No rules (red): closes the 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2026-05-07T11:27:43Z</dcterms:created>
  <dcterms:modified xmlns:dcterms="http://purl.org/dc/terms/" xmlns:xsi="http://www.w3.org/2001/XMLSchema-instance" xsi:type="dcterms:W3CDTF">2026-05-07T11:27:43Z</dcterms:modified>
</cp:coreProperties>
</file>