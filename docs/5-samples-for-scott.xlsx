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 samples" sheetId="1" state="visible" r:id="rId1"/>
    <sheet xmlns:r="http://schemas.openxmlformats.org/officeDocument/2006/relationships"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color rgb="001976D2"/>
      <sz val="10"/>
      <u val="single"/>
    </font>
    <font>
      <name val="Arial"/>
      <b val="1"/>
      <sz val="14"/>
    </font>
  </fonts>
  <fills count="5">
    <fill>
      <patternFill/>
    </fill>
    <fill>
      <patternFill patternType="gray125"/>
    </fill>
    <fill>
      <patternFill patternType="solid">
        <fgColor rgb="00231F20"/>
      </patternFill>
    </fill>
    <fill>
      <patternFill patternType="solid">
        <fgColor rgb="00FFF3CD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6" customWidth="1" min="2" max="2"/>
    <col width="11" customWidth="1" min="3" max="3"/>
    <col width="22" customWidth="1" min="4" max="4"/>
    <col width="12" customWidth="1" min="5" max="5"/>
    <col width="10" customWidth="1" min="6" max="6"/>
    <col width="12" customWidth="1" min="7" max="7"/>
    <col width="50" customWidth="1" min="8" max="8"/>
    <col width="50" customWidth="1" min="9" max="9"/>
    <col width="36" customWidth="1" min="10" max="10"/>
    <col width="36" customWidth="1" min="11" max="11"/>
    <col width="32" customWidth="1" min="12" max="12"/>
    <col width="28" customWidth="1" min="13" max="13"/>
    <col width="28" customWidth="1" min="14" max="14"/>
    <col width="28" customWidth="1" min="15" max="15"/>
    <col width="60" customWidth="1" min="16" max="16"/>
  </cols>
  <sheetData>
    <row r="1" ht="36" customHeight="1">
      <c r="A1" s="1" t="inlineStr">
        <is>
          <t>#</t>
        </is>
      </c>
      <c r="B1" s="1" t="inlineStr">
        <is>
          <t>Sample</t>
        </is>
      </c>
      <c r="C1" s="1" t="inlineStr">
        <is>
          <t>Job</t>
        </is>
      </c>
      <c r="D1" s="1" t="inlineStr">
        <is>
          <t>Plan</t>
        </is>
      </c>
      <c r="E1" s="1" t="inlineStr">
        <is>
          <t>Frame label</t>
        </is>
      </c>
      <c r="F1" s="1" t="inlineStr">
        <is>
          <t>Stick name</t>
        </is>
      </c>
      <c r="G1" s="1" t="inlineStr">
        <is>
          <t>Stick length</t>
        </is>
      </c>
      <c r="H1" s="1" t="inlineStr">
        <is>
          <t>My question</t>
        </is>
      </c>
      <c r="I1" s="1" t="inlineStr">
        <is>
          <t>Context</t>
        </is>
      </c>
      <c r="J1" s="1" t="inlineStr">
        <is>
          <t>Codec emits (extras vs ref)</t>
        </is>
      </c>
      <c r="K1" s="1" t="inlineStr">
        <is>
          <t>Detailer reference (missing from codec)</t>
        </is>
      </c>
      <c r="L1" s="1" t="inlineStr">
        <is>
          <t>Manufacturing PDF (frame elevation)</t>
        </is>
      </c>
      <c r="M1" s="1" t="inlineStr">
        <is>
          <t>Architectural PDF (project context)</t>
        </is>
      </c>
      <c r="N1" s="1" t="inlineStr">
        <is>
          <t>.fcp file (open in Detailer)</t>
        </is>
      </c>
      <c r="O1" s="1" t="inlineStr">
        <is>
          <t>Source XML</t>
        </is>
      </c>
      <c r="P1" s="1" t="inlineStr">
        <is>
          <t>Scott's answer</t>
        </is>
      </c>
    </row>
    <row r="2" ht="280" customHeight="1">
      <c r="A2" s="2" t="n">
        <v>1</v>
      </c>
      <c r="B2" s="2" t="inlineStr">
        <is>
          <t>NLBW Raised B-plate slab anchors</t>
        </is>
      </c>
      <c r="C2" s="2" t="inlineStr">
        <is>
          <t>HG260001</t>
        </is>
      </c>
      <c r="D2" s="2" t="inlineStr">
        <is>
          <t>GF-NLBW-70.075</t>
        </is>
      </c>
      <c r="E2" s="3" t="inlineStr">
        <is>
          <t>N14</t>
        </is>
      </c>
      <c r="F2" s="3" t="inlineStr">
        <is>
          <t>B1</t>
        </is>
      </c>
      <c r="G2" s="2" t="inlineStr">
        <is>
          <t>1872.0 mm</t>
        </is>
      </c>
      <c r="H2" s="2" t="inlineStr">
        <is>
          <t>Why does this NLBW raised B-plate (sill above an opening) get slab anchor bolts when an LBW raised B doesn't? What's structurally different?</t>
        </is>
      </c>
      <c r="I2" s="2" t="inlineStr">
        <is>
          <t>Raised B-plate (Bh) at z=61.5mm — sill above a door opening, NOT on the slab. Detailer's ref shows Web@8 + Bolt@62. LBW raised B-plates (e.g. PK4 L4 B2) at the SAME elevation do NOT have these anchors. Looking for the rule that fires anchors here.</t>
        </is>
      </c>
      <c r="J2" s="2" t="inlineStr">
        <is>
          <t>Bolt @1810.0</t>
        </is>
      </c>
      <c r="K2" s="2" t="inlineStr">
        <is>
          <t>(no missing — codec matches ref)</t>
        </is>
      </c>
      <c r="L2" s="4">
        <f>HYPERLINK("file:///Y:/(17) 2026 HYTEK PROJECTS/CORAL HOMES/HG260001 LOT 289 (29) COORA CRESENT CURRIMUNDI/06 MANUFACTURING/02 DRAWINGS MANUFACTURING/01 LGS/HG260001 LOT 289 COORA CRESCENT CURRIMUNDI 4551-GF-NLBW-70.075.pdf","HG260001 LOT 289 COORA CRESCENT CURRIMUNDI 4551-GF-NLBW-70.0")</f>
        <v/>
      </c>
      <c r="M2" s="4">
        <f>HYPERLINK("file:///Y:/(17) 2026 HYTEK PROJECTS/CORAL HOMES/HG260001 LOT 289 (29) COORA CRESENT CURRIMUNDI/01 PROJECT DOCUMENTATION/02 CURRENT DOCS/01 PDF/43983 - TURNBULL - VO2 COLOUR- LBW MARKUP.pdf","43983 - TURNBULL - VO2 COLOUR- LBW MARKUP.pdf")</f>
        <v/>
      </c>
      <c r="N2" s="4">
        <f>HYPERLINK("file:///Y:/(17) 2026 HYTEK PROJECTS/CORAL HOMES/HG260001 LOT 289 (29) COORA CRESENT CURRIMUNDI/03 DETAILING/03 FRAMECAD DETAILER/HG260001 LOT 289 (29) COORA CRESENT CURRIMUNDI.fcp","HG260001 LOT 289 (29) COORA CRESENT CURRIMUNDI.fcp")</f>
        <v/>
      </c>
      <c r="O2" s="4">
        <f>HYPERLINK("file:///Y:/(17) 2026 HYTEK PROJECTS/CORAL HOMES/HG260001 LOT 289 (29) COORA CRESENT CURRIMUNDI/03 DETAILING/03 FRAMECAD DETAILER/01 XML OUTPUT/HG260001 LOT 289 COORA CRESCENT CURRIMUNDI 4551-GF-NLBW-70.075.xml","HG260001 LOT 289 COORA CRESCENT CURRIMUNDI 4551-GF-NLBW-70.0")</f>
        <v/>
      </c>
      <c r="P2" s="5" t="inlineStr"/>
    </row>
    <row r="3" ht="280" customHeight="1">
      <c r="A3" s="2" t="n">
        <v>2</v>
      </c>
      <c r="B3" s="2" t="inlineStr">
        <is>
          <t>Truss panel-point dimples (sign discriminator)</t>
        </is>
      </c>
      <c r="C3" s="2" t="inlineStr">
        <is>
          <t>HG250011</t>
        </is>
      </c>
      <c r="D3" s="2" t="inlineStr">
        <is>
          <t>GF-TIN-70.075</t>
        </is>
      </c>
      <c r="E3" s="3" t="inlineStr">
        <is>
          <t>PC1-1</t>
        </is>
      </c>
      <c r="F3" s="3" t="inlineStr">
        <is>
          <t>T2</t>
        </is>
      </c>
      <c r="G3" s="2" t="inlineStr">
        <is>
          <t>2408.3 mm</t>
        </is>
      </c>
      <c r="H3" s="2" t="inlineStr">
        <is>
          <t>Each dimple PAIR (e.g. @562 + @613, @1166 + @1217) sits offset to ONE SIDE of where a web stick projects onto this chord by ~25mm. What determines which side — heel/apex, frame centerline side, web slope direction, or something else?</t>
        </is>
      </c>
      <c r="I3" s="2" t="inlineStr">
        <is>
          <t>T2 is a 2.4m TopChord. Ref has multiple InnerDimple PAIRS in body (panel-point markers). Pairs are spaced ~50mm apart. Each pair sits to one side of the web-projection point. Sign flips bimodally per the corpus mining (peaks at ±25mm).</t>
        </is>
      </c>
      <c r="J3" s="2" t="inlineStr">
        <is>
          <t>InnerDimple @16.5
InnerDimple @1110.9
InnerDimple @1550.6
InnerDimple @1657.9
InnerDimple @2181.4
InnerDimple @2385.9
LipNotch 1088.4..1133.4
LipNotch 1393.9..1440.3
LipNotch 1635.4..1680.4
LipNotch 1871.1..1917.4
LipNotch 2158.9..2203.9</t>
        </is>
      </c>
      <c r="K3" s="2" t="inlineStr">
        <is>
          <t>InnerDimple @10.0
InnerDimple @64.1
InnerDimple @562.3
InnerDimple @613.5
InnerDimple @1165.8
InnerDimple @1217.1
InnerDimple @1820.6
InnerDimple @1871.9
InnerDimple @2146.1
InnerDimple @2398.3
InnerDimple @2398.3
LipNotch 512.9..629.2
LipNotch 1117.7..1232.7
LipNotch 1723.6..1890.8
LipNotch 2135.2..2243.3
Chamfer @end</t>
        </is>
      </c>
      <c r="L3" s="4">
        <f>HYPERLINK("file:///Y:/(14) 2025 HYTEK PROJECTS/CORAL HOMES/HG250011 LOT 57 (5) NEVIS COURT D'AGUILAR/06 MANUFACTURING/02 DRAWINGS MANUFACTURING/01 LGS/SS 20250801/HG250011 LOT 57 (5) NEVIS COURT D AGUILAR Rev 1-GF-TIN-70.075.pdf","HG250011 LOT 57 (5) NEVIS COURT D AGUILAR Rev 1-GF-TIN-70.07")</f>
        <v/>
      </c>
      <c r="M3" s="4">
        <f>HYPERLINK("file:///Y:/(14) 2025 HYTEK PROJECTS/CORAL HOMES/HG250011 LOT 57 (5) NEVIS COURT D'AGUILAR/01 PROJECT DOCUMENTATION/02 CURRENT DOCS/01 PDF/CONSTRUCTION DETAILS.pdf","CONSTRUCTION DETAILS.pdf")</f>
        <v/>
      </c>
      <c r="N3" s="4">
        <f>HYPERLINK("file:///Y:/(14) 2025 HYTEK PROJECTS/CORAL HOMES/HG250011 LOT 57 (5) NEVIS COURT D'AGUILAR/03 DETAILING/03 FRAMECAD DETAILER/HG250011 LOT 57 (5) NEVIS COURT D AGUILAR Rev 1.fcp","HG250011 LOT 57 (5) NEVIS COURT D AGUILAR Rev 1.fcp")</f>
        <v/>
      </c>
      <c r="O3" s="4">
        <f>HYPERLINK("file:///Y:/(14) 2025 HYTEK PROJECTS/CORAL HOMES/HG250011 LOT 57 (5) NEVIS COURT D'AGUILAR/03 DETAILING/03 FRAMECAD DETAILER/01 XML OUTPUT/HG250011 LOT 57 (5) NEVIS COURT D AGUILAR Rev 1-GF-TIN-70.075.xml","HG250011 LOT 57 (5) NEVIS COURT D AGUILAR Rev 1-GF-TIN-70.07")</f>
        <v/>
      </c>
      <c r="P3" s="5" t="inlineStr"/>
    </row>
    <row r="4" ht="280" customHeight="1">
      <c r="A4" s="2" t="n">
        <v>3</v>
      </c>
      <c r="B4" s="2" t="inlineStr">
        <is>
          <t>Truss chord cap notches (start + end ops)</t>
        </is>
      </c>
      <c r="C4" s="2" t="inlineStr">
        <is>
          <t>HG250011</t>
        </is>
      </c>
      <c r="D4" s="2" t="inlineStr">
        <is>
          <t>GF-TIN-70.075</t>
        </is>
      </c>
      <c r="E4" s="3" t="inlineStr">
        <is>
          <t>PC1-1</t>
        </is>
      </c>
      <c r="F4" s="3" t="inlineStr">
        <is>
          <t>T2</t>
        </is>
      </c>
      <c r="G4" s="2" t="inlineStr">
        <is>
          <t>2408.3 mm</t>
        </is>
      </c>
      <c r="H4" s="2" t="inlineStr">
        <is>
          <t>When I said 'cap notch' I meant the InnerNotch+LipNotch span at the very start (0..39) and very end (length-39..length). ~80% of TIN chord sticks have these caps; ~20% only have LipNotches without InnerNotches. What physically distinguishes a chord that gets the InnerNotch cap vs one that doesn't?</t>
        </is>
      </c>
      <c r="I4" s="2" t="inlineStr">
        <is>
          <t>Same T2 stick as #2. Looking at start/end ops. The InnerNotch+LipNotch is for chord segments that connect to another segment (heel, apex, mid-span splice). The 20% without may be free ends or segments connecting to a different part type.</t>
        </is>
      </c>
      <c r="J4" s="2" t="inlineStr">
        <is>
          <t>InnerDimple @16.5
InnerDimple @1110.9
InnerDimple @1550.6
InnerDimple @1657.9
InnerDimple @2181.4
InnerDimple @2385.9
LipNotch 1088.4..1133.4
LipNotch 1393.9..1440.3
LipNotch 1635.4..1680.4
LipNotch 1871.1..1917.4
LipNotch 2158.9..2203.9</t>
        </is>
      </c>
      <c r="K4" s="2" t="inlineStr">
        <is>
          <t>InnerDimple @10.0
InnerDimple @64.1
InnerDimple @562.3
InnerDimple @613.5
InnerDimple @1165.8
InnerDimple @1217.1
InnerDimple @1820.6
InnerDimple @1871.9
InnerDimple @2146.1
InnerDimple @2398.3
InnerDimple @2398.3
LipNotch 512.9..629.2
LipNotch 1117.7..1232.7
LipNotch 1723.6..1890.8
LipNotch 2135.2..2243.3
Chamfer @end</t>
        </is>
      </c>
      <c r="L4" s="4">
        <f>HYPERLINK("file:///Y:/(14) 2025 HYTEK PROJECTS/CORAL HOMES/HG250011 LOT 57 (5) NEVIS COURT D'AGUILAR/06 MANUFACTURING/02 DRAWINGS MANUFACTURING/01 LGS/SS 20250801/HG250011 LOT 57 (5) NEVIS COURT D AGUILAR Rev 1-GF-TIN-70.075.pdf","HG250011 LOT 57 (5) NEVIS COURT D AGUILAR Rev 1-GF-TIN-70.07")</f>
        <v/>
      </c>
      <c r="M4" s="4">
        <f>HYPERLINK("file:///Y:/(14) 2025 HYTEK PROJECTS/CORAL HOMES/HG250011 LOT 57 (5) NEVIS COURT D'AGUILAR/01 PROJECT DOCUMENTATION/02 CURRENT DOCS/01 PDF/CONSTRUCTION DETAILS.pdf","CONSTRUCTION DETAILS.pdf")</f>
        <v/>
      </c>
      <c r="N4" s="4">
        <f>HYPERLINK("file:///Y:/(14) 2025 HYTEK PROJECTS/CORAL HOMES/HG250011 LOT 57 (5) NEVIS COURT D'AGUILAR/03 DETAILING/03 FRAMECAD DETAILER/HG250011 LOT 57 (5) NEVIS COURT D AGUILAR Rev 1.fcp","HG250011 LOT 57 (5) NEVIS COURT D AGUILAR Rev 1.fcp")</f>
        <v/>
      </c>
      <c r="O4" s="4">
        <f>HYPERLINK("file:///Y:/(14) 2025 HYTEK PROJECTS/CORAL HOMES/HG250011 LOT 57 (5) NEVIS COURT D'AGUILAR/03 DETAILING/03 FRAMECAD DETAILER/01 XML OUTPUT/HG250011 LOT 57 (5) NEVIS COURT D AGUILAR Rev 1-GF-TIN-70.075.xml","HG250011 LOT 57 (5) NEVIS COURT D AGUILAR Rev 1-GF-TIN-70.07")</f>
        <v/>
      </c>
      <c r="P4" s="5" t="inlineStr"/>
    </row>
    <row r="5" ht="280" customHeight="1">
      <c r="A5" s="2" t="n">
        <v>4</v>
      </c>
      <c r="B5" s="2" t="inlineStr">
        <is>
          <t>Br/R sticks (decoded with HYTEK codes)</t>
        </is>
      </c>
      <c r="C5" s="2" t="inlineStr">
        <is>
          <t>HG250011</t>
        </is>
      </c>
      <c r="D5" s="2" t="inlineStr">
        <is>
          <t>GF-TIN-70.095</t>
        </is>
      </c>
      <c r="E5" s="3" t="inlineStr">
        <is>
          <t>TGI1-1</t>
        </is>
      </c>
      <c r="F5" s="3" t="inlineStr">
        <is>
          <t>R6</t>
        </is>
      </c>
      <c r="G5" s="2" t="inlineStr">
        <is>
          <t>396.9 mm</t>
        </is>
      </c>
      <c r="H5" s="2" t="inlineStr">
        <is>
          <t>What is an R6 stick? Is it a ribbon, lateral brace, ridge, or something else? Confirm whether the 41mm Swage cap + 11mm dimple offset is correct for HYTEK Br/R sticks (vs studs' 39 + 16.5).</t>
        </is>
      </c>
      <c r="I5" s="2" t="inlineStr">
        <is>
          <t>R6 is 399mm long. Ref ops: Chamfer@start, ID@99.5, ID@198.5, ID@281.5 (3 dimples in body), LipNotch 77..122, InnerNotch+LipNotch 176..221, InnerNotch 259..304. Codec only emits Swage 357.9..398.9. Want to identify what type of stick this is in HYTEK terminology + confirm cap/dimple constants.</t>
        </is>
      </c>
      <c r="J5" s="2" t="inlineStr">
        <is>
          <t>Swage 357.9..398.9</t>
        </is>
      </c>
      <c r="K5" s="2" t="inlineStr">
        <is>
          <t>Chamfer @start
InnerDimple @99.5
InnerDimple @198.5
InnerDimple @281.5
LipNotch 77.0..122.0
InnerNotch 176.0..221.0
LipNotch 176.0..221.0
InnerNotch 259.0..304.0
LipNotch 259.0..304.0
Swage 289.7..396.9
Chamfer @end</t>
        </is>
      </c>
      <c r="L5" s="4">
        <f>HYPERLINK("file:///Y:/(14) 2025 HYTEK PROJECTS/CORAL HOMES/HG250011 LOT 57 (5) NEVIS COURT D'AGUILAR/06 MANUFACTURING/02 DRAWINGS MANUFACTURING/01 LGS/SS 20250801/HG250011 LOT 57 (5) NEVIS COURT D AGUILAR Rev 1-GF-TIN-70.095.pdf","HG250011 LOT 57 (5) NEVIS COURT D AGUILAR Rev 1-GF-TIN-70.09")</f>
        <v/>
      </c>
      <c r="M5" s="4">
        <f>HYPERLINK("file:///Y:/(14) 2025 HYTEK PROJECTS/CORAL HOMES/HG250011 LOT 57 (5) NEVIS COURT D'AGUILAR/01 PROJECT DOCUMENTATION/02 CURRENT DOCS/01 PDF/CONSTRUCTION DETAILS.pdf","CONSTRUCTION DETAILS.pdf")</f>
        <v/>
      </c>
      <c r="N5" s="4">
        <f>HYPERLINK("file:///Y:/(14) 2025 HYTEK PROJECTS/CORAL HOMES/HG250011 LOT 57 (5) NEVIS COURT D'AGUILAR/03 DETAILING/03 FRAMECAD DETAILER/HG250011 LOT 57 (5) NEVIS COURT D AGUILAR Rev 1.fcp","HG250011 LOT 57 (5) NEVIS COURT D AGUILAR Rev 1.fcp")</f>
        <v/>
      </c>
      <c r="O5" s="4">
        <f>HYPERLINK("file:///Y:/(14) 2025 HYTEK PROJECTS/CORAL HOMES/HG250011 LOT 57 (5) NEVIS COURT D'AGUILAR/03 DETAILING/03 FRAMECAD DETAILER/01 XML OUTPUT/HG250011 LOT 57 (5) NEVIS COURT D AGUILAR Rev 1-GF-TIN-70.095.xml","HG250011 LOT 57 (5) NEVIS COURT D AGUILAR Rev 1-GF-TIN-70.09")</f>
        <v/>
      </c>
      <c r="P5" s="5" t="inlineStr"/>
    </row>
    <row r="6" ht="280" customHeight="1">
      <c r="A6" s="2" t="n">
        <v>5</v>
      </c>
      <c r="B6" s="2" t="inlineStr">
        <is>
          <t>Long T plate with InnerNotch in body</t>
        </is>
      </c>
      <c r="C6" s="2" t="inlineStr">
        <is>
          <t>HG250085</t>
        </is>
      </c>
      <c r="D6" s="2" t="inlineStr">
        <is>
          <t>GF-TIN-70.095</t>
        </is>
      </c>
      <c r="E6" s="3" t="inlineStr">
        <is>
          <t>TN4-1</t>
        </is>
      </c>
      <c r="F6" s="3" t="inlineStr">
        <is>
          <t>T4</t>
        </is>
      </c>
      <c r="G6" s="2" t="inlineStr">
        <is>
          <t>4189.8 mm</t>
        </is>
      </c>
      <c r="H6" s="2" t="inlineStr">
        <is>
          <t>This 4190mm long T plate has an InnerNotch span 192..279 in the BODY (not at ends). What triggers this — above an opening? At a king-stud crossing? At a plate joint? Where in this frame would I look to find the cause?</t>
        </is>
      </c>
      <c r="I6" s="2" t="inlineStr">
        <is>
          <t>T4 is a 4190mm top chord. Ref has standard caps at 0..39 and 4151..4190 PLUS an InnerNotch span 192..279 in the body. Most long T plates have ONLY cap notches; ~5% have a body notch like this. Looking for the geometric or structural trigger.</t>
        </is>
      </c>
      <c r="J6" s="2" t="inlineStr">
        <is>
          <t>InnerDimple @16.5
InnerDimple @2263.8
InnerDimple @2353.3
InnerDimple @2761.5
InnerDimple @3279.1
InnerDimple @3489.6
InnerDimple @3798.6
InnerDimple @4037.2
InnerDimple @4107.2
InnerDimple @4163.6
LipNotch 0.0..39.0
LipNotch 1881.3..1942.4
LipNotch 2330.8..2375.8
LipNotch 2439.2..2495.9
LipNotch 2898.9..2943.9
LipNotch 2999.8..3053.7
LipNotch 3467.1..3512.1
LipNotch 3560.6..3612.0
LipNotch 4014.7..4059.7
LipNotch 4084.7..4180.1</t>
        </is>
      </c>
      <c r="K6" s="2" t="inlineStr">
        <is>
          <t>Chamfer @start
InnerDimple @10.0
ScrewHoles @80.8
ScrewHoles @206.3
InnerDimple @211.5
ScrewHoles @248.0
InnerDimple @253.1
ScrewHoles @290.6
InnerDimple @295.7
ScrewHoles @341.5
ScrewHoles @560.1
ScrewHoles @602.2
InnerDimple @613.8
ScrewHoles @660.0
InnerDimple @665.1
InnerDimple @1190.7
InnerDimple @1242.0
InnerDimple @1767.6
InnerDimple @1818.9
InnerDimple @2344.5
InnerDimple @2395.8
InnerDimple @2972.7
InnerDimple @3498.3
InnerDimple @3549.5
InnerDimple @4054.4</t>
        </is>
      </c>
      <c r="L6" s="2" t="inlineStr"/>
      <c r="M6" s="2" t="inlineStr"/>
      <c r="N6" s="2" t="inlineStr"/>
      <c r="O6" s="2" t="inlineStr"/>
      <c r="P6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6" t="inlineStr">
        <is>
          <t>5 reference samples — how to use</t>
        </is>
      </c>
    </row>
    <row r="3">
      <c r="A3" t="inlineStr">
        <is>
          <t>1. Click the Manufacturing PDF link to open the per-plan frame-elevation drawings.</t>
        </is>
      </c>
    </row>
    <row r="4">
      <c r="A4" t="inlineStr">
        <is>
          <t>2. Use the Frame label (column E) to find the right page in the PDF.</t>
        </is>
      </c>
    </row>
    <row r="5">
      <c r="A5" t="inlineStr">
        <is>
          <t>3. Use the Stick name (column F) to identify the specific stick on that elevation.</t>
        </is>
      </c>
    </row>
    <row r="6">
      <c r="A6" t="inlineStr">
        <is>
          <t>4. Compare 'Codec emits' (column J) vs 'Detailer reference' (column K) for the gap.</t>
        </is>
      </c>
    </row>
    <row r="7">
      <c r="A7" t="inlineStr">
        <is>
          <t>5. Click the .fcp link (column N) to open the same project in Detailer for live inspection.</t>
        </is>
      </c>
    </row>
    <row r="8">
      <c r="A8" t="inlineStr">
        <is>
          <t>6. Type your answer in the yellow 'Scott's answer' column (P).</t>
        </is>
      </c>
    </row>
    <row r="9">
      <c r="A9" t="inlineStr">
        <is>
          <t>7. Save and hand back to Claude — the codec will be updated.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2026-05-08T01:26:11Z</dcterms:created>
  <dcterms:modified xmlns:dcterms="http://purl.org/dc/terms/" xmlns:xsi="http://www.w3.org/2001/XMLSchema-instance" xsi:type="dcterms:W3CDTF">2026-05-08T01:26:11Z</dcterms:modified>
</cp:coreProperties>
</file>