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sz val="10"/>
    </font>
    <font>
      <name val="Arial"/>
      <b val="1"/>
      <color rgb="002E7D32"/>
      <sz val="10"/>
    </font>
    <font>
      <name val="Arial"/>
      <b val="1"/>
      <color rgb="00E65100"/>
      <sz val="10"/>
    </font>
    <font>
      <name val="Arial"/>
      <b val="1"/>
      <color rgb="00231F20"/>
      <sz val="10"/>
    </font>
    <font>
      <name val="Arial"/>
      <color rgb="001976D2"/>
      <sz val="10"/>
      <u val="single"/>
    </font>
    <font>
      <name val="Arial"/>
      <b val="1"/>
      <color rgb="00C62828"/>
      <sz val="10"/>
    </font>
    <font>
      <name val="Arial"/>
      <b val="1"/>
      <sz val="14"/>
    </font>
    <font>
      <name val="Arial"/>
      <b val="1"/>
      <color rgb="002E7D32"/>
    </font>
    <font>
      <name val="Arial"/>
      <b val="1"/>
      <color rgb="00E65100"/>
    </font>
    <font>
      <name val="Arial"/>
      <b val="1"/>
      <color rgb="00C62828"/>
    </font>
    <font>
      <name val="Arial"/>
      <b val="1"/>
      <sz val="12"/>
    </font>
    <font>
      <name val="Arial"/>
      <b val="1"/>
    </font>
  </fonts>
  <fills count="9">
    <fill>
      <patternFill/>
    </fill>
    <fill>
      <patternFill patternType="gray125"/>
    </fill>
    <fill>
      <patternFill patternType="solid">
        <fgColor rgb="00231F20"/>
      </patternFill>
    </fill>
    <fill>
      <patternFill patternType="solid">
        <fgColor rgb="00C8E6C9"/>
      </patternFill>
    </fill>
    <fill>
      <patternFill patternType="solid">
        <fgColor rgb="00FFE0B2"/>
      </patternFill>
    </fill>
    <fill>
      <patternFill patternType="solid">
        <fgColor rgb="00FFF3CD"/>
      </patternFill>
    </fill>
    <fill>
      <patternFill patternType="solid">
        <fgColor rgb="00E1F5FE"/>
      </patternFill>
    </fill>
    <fill>
      <patternFill patternType="solid">
        <fgColor rgb="00FFCDD2"/>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2" fillId="6"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7" fillId="7" borderId="1" applyAlignment="1" pivotButton="0" quotePrefix="0" xfId="0">
      <alignment horizontal="center" vertical="center"/>
    </xf>
    <xf numFmtId="0" fontId="2" fillId="8"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6" customWidth="1" min="3" max="3"/>
    <col width="11" customWidth="1" min="4" max="4"/>
    <col width="32" customWidth="1" min="5" max="5"/>
    <col width="42" customWidth="1" min="6" max="6"/>
    <col width="10" customWidth="1" min="7" max="7"/>
    <col width="55" customWidth="1" min="8" max="8"/>
    <col width="60" customWidth="1" min="9" max="9"/>
    <col width="22" customWidth="1" min="10" max="10"/>
    <col width="50" customWidth="1" min="11" max="11"/>
    <col width="18" customWidth="1" min="12" max="12"/>
    <col width="22" customWidth="1" min="13" max="13"/>
    <col width="65" customWidth="1" min="14" max="14"/>
    <col width="50" customWidth="1" min="15" max="15"/>
    <col width="22" customWidth="1" min="16" max="16"/>
    <col width="30" customWidth="1" min="17" max="17"/>
    <col width="30" customWidth="1" min="18" max="18"/>
    <col width="30" customWidth="1" min="19" max="19"/>
    <col width="30" customWidth="1" min="20" max="20"/>
  </cols>
  <sheetData>
    <row r="1" ht="50" customHeight="1">
      <c r="A1" s="1" t="inlineStr">
        <is>
          <t>#</t>
        </is>
      </c>
      <c r="B1" s="1" t="inlineStr">
        <is>
          <t>Section</t>
        </is>
      </c>
      <c r="C1" s="1" t="inlineStr">
        <is>
          <t>Stick role</t>
        </is>
      </c>
      <c r="D1" s="1" t="inlineStr">
        <is>
          <t>Profile</t>
        </is>
      </c>
      <c r="E1" s="1" t="inlineStr">
        <is>
          <t>When (gate / condition)</t>
        </is>
      </c>
      <c r="F1" s="1" t="inlineStr">
        <is>
          <t>What we emit (plain English)</t>
        </is>
      </c>
      <c r="G1" s="1" t="inlineStr">
        <is>
          <t>Status</t>
        </is>
      </c>
      <c r="H1" s="1" t="inlineStr">
        <is>
          <t>Source / what to implement</t>
        </is>
      </c>
      <c r="I1" s="1" t="inlineStr">
        <is>
          <t>Empirical pattern (mined from 388-pair corpus)</t>
        </is>
      </c>
      <c r="J1" s="1" t="inlineStr">
        <is>
          <t>Look up in Detailer (job / plan / frame / stick)</t>
        </is>
      </c>
      <c r="K1" s="1" t="inlineStr">
        <is>
          <t>Specific question</t>
        </is>
      </c>
      <c r="L1" s="1" t="inlineStr">
        <is>
          <t>Affected (sticks / pairs in 388-pair corpus)</t>
        </is>
      </c>
      <c r="M1" s="1" t="inlineStr">
        <is>
          <t>Unlocks if fixed</t>
        </is>
      </c>
      <c r="N1" s="1" t="inlineStr">
        <is>
          <t>My uncertainty (long-form)</t>
        </is>
      </c>
      <c r="O1" s="1" t="inlineStr">
        <is>
          <t>Scott's correction</t>
        </is>
      </c>
      <c r="P1" s="1" t="inlineStr">
        <is>
          <t>Diff PDF (codec vs Detailer)</t>
        </is>
      </c>
      <c r="Q1" s="1" t="inlineStr">
        <is>
          <t>Manufacturing PDF (frame elevations)</t>
        </is>
      </c>
      <c r="R1" s="1" t="inlineStr">
        <is>
          <t>Architectural PDF (project context)</t>
        </is>
      </c>
      <c r="S1" s="1" t="inlineStr">
        <is>
          <t>.fcp file (open in Detailer)</t>
        </is>
      </c>
      <c r="T1" s="1" t="inlineStr">
        <is>
          <t>Source XML</t>
        </is>
      </c>
    </row>
    <row r="2" ht="22" customHeight="1">
      <c r="A2" s="2" t="n">
        <v>1</v>
      </c>
      <c r="B2" s="2" t="inlineStr">
        <is>
          <t>A</t>
        </is>
      </c>
      <c r="C2" s="2" t="inlineStr">
        <is>
          <t>Wall studs (S, J)</t>
        </is>
      </c>
      <c r="D2" s="2" t="inlineStr">
        <is>
          <t>70mm</t>
        </is>
      </c>
      <c r="E2" s="2" t="inlineStr">
        <is>
          <t>Always</t>
        </is>
      </c>
      <c r="F2" s="2" t="inlineStr">
        <is>
          <t>Start Swage 0..39mm (39mm cap from start)</t>
        </is>
      </c>
      <c r="G2" s="3" t="inlineStr">
        <is>
          <t>Yes</t>
        </is>
      </c>
      <c r="H2" s="2" t="inlineStr"/>
      <c r="I2" s="2" t="inlineStr"/>
      <c r="J2" s="2" t="inlineStr"/>
      <c r="K2" s="2" t="inlineStr"/>
      <c r="L2" s="2" t="inlineStr">
        <is>
          <t>—</t>
        </is>
      </c>
      <c r="M2" s="2" t="inlineStr">
        <is>
          <t>—</t>
        </is>
      </c>
      <c r="N2" s="2" t="inlineStr"/>
      <c r="O2" s="2" t="inlineStr"/>
      <c r="P2" s="2" t="inlineStr"/>
      <c r="Q2" s="2" t="inlineStr"/>
      <c r="R2" s="2" t="inlineStr"/>
      <c r="S2" s="2" t="inlineStr"/>
      <c r="T2" s="2" t="inlineStr"/>
    </row>
    <row r="3" ht="22" customHeight="1">
      <c r="A3" s="2" t="n">
        <v>2</v>
      </c>
      <c r="B3" s="2" t="inlineStr">
        <is>
          <t>A</t>
        </is>
      </c>
      <c r="C3" s="2" t="inlineStr">
        <is>
          <t>Wall studs (S, J)</t>
        </is>
      </c>
      <c r="D3" s="2" t="inlineStr">
        <is>
          <t>70mm</t>
        </is>
      </c>
      <c r="E3" s="2" t="inlineStr">
        <is>
          <t>Always</t>
        </is>
      </c>
      <c r="F3" s="2" t="inlineStr">
        <is>
          <t>Start InnerDimple at 16.5mm from start</t>
        </is>
      </c>
      <c r="G3" s="3" t="inlineStr">
        <is>
          <t>Yes</t>
        </is>
      </c>
      <c r="H3" s="2" t="inlineStr"/>
      <c r="I3" s="2" t="inlineStr"/>
      <c r="J3" s="2" t="inlineStr"/>
      <c r="K3" s="2" t="inlineStr"/>
      <c r="L3" s="2" t="inlineStr">
        <is>
          <t>—</t>
        </is>
      </c>
      <c r="M3" s="2" t="inlineStr">
        <is>
          <t>—</t>
        </is>
      </c>
      <c r="N3" s="2" t="inlineStr"/>
      <c r="O3" s="2" t="inlineStr"/>
      <c r="P3" s="2" t="inlineStr"/>
      <c r="Q3" s="2" t="inlineStr"/>
      <c r="R3" s="2" t="inlineStr"/>
      <c r="S3" s="2" t="inlineStr"/>
      <c r="T3" s="2" t="inlineStr"/>
    </row>
    <row r="4" ht="22" customHeight="1">
      <c r="A4" s="2" t="n">
        <v>3</v>
      </c>
      <c r="B4" s="2" t="inlineStr">
        <is>
          <t>A</t>
        </is>
      </c>
      <c r="C4" s="2" t="inlineStr">
        <is>
          <t>Wall studs (S, J)</t>
        </is>
      </c>
      <c r="D4" s="2" t="inlineStr">
        <is>
          <t>70mm</t>
        </is>
      </c>
      <c r="E4" s="2" t="inlineStr">
        <is>
          <t>Always</t>
        </is>
      </c>
      <c r="F4" s="2" t="inlineStr">
        <is>
          <t>End Swage [length-39 .. length]</t>
        </is>
      </c>
      <c r="G4" s="3" t="inlineStr">
        <is>
          <t>Yes</t>
        </is>
      </c>
      <c r="H4" s="2" t="inlineStr"/>
      <c r="I4" s="2" t="inlineStr"/>
      <c r="J4" s="2" t="inlineStr"/>
      <c r="K4" s="2" t="inlineStr"/>
      <c r="L4" s="2" t="inlineStr">
        <is>
          <t>—</t>
        </is>
      </c>
      <c r="M4" s="2" t="inlineStr">
        <is>
          <t>—</t>
        </is>
      </c>
      <c r="N4" s="2" t="inlineStr"/>
      <c r="O4" s="2" t="inlineStr"/>
      <c r="P4" s="2" t="inlineStr"/>
      <c r="Q4" s="2" t="inlineStr"/>
      <c r="R4" s="2" t="inlineStr"/>
      <c r="S4" s="2" t="inlineStr"/>
      <c r="T4" s="2" t="inlineStr"/>
    </row>
    <row r="5" ht="22" customHeight="1">
      <c r="A5" s="2" t="n">
        <v>4</v>
      </c>
      <c r="B5" s="2" t="inlineStr">
        <is>
          <t>A</t>
        </is>
      </c>
      <c r="C5" s="2" t="inlineStr">
        <is>
          <t>Wall studs (S, J)</t>
        </is>
      </c>
      <c r="D5" s="2" t="inlineStr">
        <is>
          <t>70mm</t>
        </is>
      </c>
      <c r="E5" s="2" t="inlineStr">
        <is>
          <t>Always</t>
        </is>
      </c>
      <c r="F5" s="2" t="inlineStr">
        <is>
          <t>End InnerDimple at length-16.5</t>
        </is>
      </c>
      <c r="G5" s="3" t="inlineStr">
        <is>
          <t>Yes</t>
        </is>
      </c>
      <c r="H5" s="2" t="inlineStr"/>
      <c r="I5" s="2" t="inlineStr"/>
      <c r="J5" s="2" t="inlineStr"/>
      <c r="K5" s="2" t="inlineStr"/>
      <c r="L5" s="2" t="inlineStr">
        <is>
          <t>—</t>
        </is>
      </c>
      <c r="M5" s="2" t="inlineStr">
        <is>
          <t>—</t>
        </is>
      </c>
      <c r="N5" s="2" t="inlineStr"/>
      <c r="O5" s="2" t="inlineStr"/>
      <c r="P5" s="2" t="inlineStr"/>
      <c r="Q5" s="2" t="inlineStr"/>
      <c r="R5" s="2" t="inlineStr"/>
      <c r="S5" s="2" t="inlineStr"/>
      <c r="T5" s="2" t="inlineStr"/>
    </row>
    <row r="6" ht="238" customHeight="1">
      <c r="A6" s="2" t="n">
        <v>5</v>
      </c>
      <c r="B6" s="2" t="inlineStr">
        <is>
          <t>A</t>
        </is>
      </c>
      <c r="C6" s="2" t="inlineStr">
        <is>
          <t>Wall studs (S, J)</t>
        </is>
      </c>
      <c r="D6" s="2" t="inlineStr">
        <is>
          <t>70/89mm</t>
        </is>
      </c>
      <c r="E6" s="2" t="inlineStr">
        <is>
          <t>Wall plan AND length&gt;=500</t>
        </is>
      </c>
      <c r="F6" s="2" t="inlineStr">
        <is>
          <t>Service hole at 296mm from start (outlet height)</t>
        </is>
      </c>
      <c r="G6" s="4" t="inlineStr">
        <is>
          <t>Spec'd</t>
        </is>
      </c>
      <c r="H6" s="2" t="inlineStr">
        <is>
          <t>docs/service-z-line-design.md
Read &lt;tool_action name=Service&gt; elements per frame. For each horizontal z-line (same z, varying x or y), project onto each stud. Emit InnerService at local_pos = z_line - z_stud_start - 2mm. See doc §1.2 + §3 for selection rule.</t>
        </is>
      </c>
      <c r="I6"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6" s="6" t="inlineStr">
        <is>
          <t>HG260001
GF-LBW-70.075
frame L4
stick S11</t>
        </is>
      </c>
      <c r="K6" s="2" t="inlineStr">
        <is>
          <t>(see Source col)</t>
        </is>
      </c>
      <c r="L6" s="2" t="inlineStr">
        <is>
          <t>19,106 sticks / 169 pairs</t>
        </is>
      </c>
      <c r="M6" s="2" t="inlineStr">
        <is>
          <t>moderate (over-emit on most jobs)</t>
        </is>
      </c>
      <c r="N6" s="2" t="inlineStr"/>
      <c r="O6" s="2" t="inlineStr"/>
      <c r="P6" s="7">
        <f>HYPERLINK("file:///C:/Users/Scott/CLAUDE CODE/hytek-rfy-codec/docs/rule-pdfs/rule-05.pdf","rule-05.pdf")</f>
        <v/>
      </c>
      <c r="Q6" s="7">
        <f>HYPERLINK("file:///Y:/(17) 2026 HYTEK PROJECTS/CORAL HOMES/HG260001 LOT 289 (29) COORA CRESENT CURRIMUNDI/06 MANUFACTURING/02 DRAWINGS MANUFACTURING/01 LGS/HG260001 LOT 289 COORA CRESCENT CURRIMUNDI 4551-GF-LBW-70.075.pdf","HG260001 LOT 289 COORA CRESCENT CURRIMUNDI 4551-GF")</f>
        <v/>
      </c>
      <c r="R6" s="7">
        <f>HYPERLINK("file:///Y:/(17) 2026 HYTEK PROJECTS/CORAL HOMES/HG260001 LOT 289 (29) COORA CRESENT CURRIMUNDI/01 PROJECT DOCUMENTATION/02 CURRENT DOCS/01 PDF/AC LAYOUT.pdf","AC LAYOUT.pdf")</f>
        <v/>
      </c>
      <c r="S6" s="7">
        <f>HYPERLINK("file:///Y:/(17) 2026 HYTEK PROJECTS/CORAL HOMES/HG260001 LOT 289 (29) COORA CRESENT CURRIMUNDI/03 DETAILING/03 FRAMECAD DETAILER/HG260001 LOT 289 (29) COORA CRESENT CURRIMUNDI.fcp","HG260001 LOT 289 (29) COORA CRESENT CURRIMUNDI.fcp")</f>
        <v/>
      </c>
      <c r="T6" s="7">
        <f>HYPERLINK("file:///Y:/(17) 2026 HYTEK PROJECTS/CORAL HOMES/HG260001 LOT 289 (29) COORA CRESENT CURRIMUNDI/03 DETAILING/03 FRAMECAD DETAILER/01 XML OUTPUT/HG260001 LOT 289 COORA CRESCENT CURRIMUNDI 4551-GF-LBW-70.075.xml","HG260001 LOT 289 COORA CRESCENT CURRIMUNDI 4551-GF")</f>
        <v/>
      </c>
    </row>
    <row r="7" ht="224" customHeight="1">
      <c r="A7" s="2" t="n">
        <v>6</v>
      </c>
      <c r="B7" s="2" t="inlineStr">
        <is>
          <t>A</t>
        </is>
      </c>
      <c r="C7" s="2" t="inlineStr">
        <is>
          <t>Wall studs (S, J)</t>
        </is>
      </c>
      <c r="D7" s="2" t="inlineStr">
        <is>
          <t>70/89mm</t>
        </is>
      </c>
      <c r="E7" s="2" t="inlineStr">
        <is>
          <t>Wall plan AND length&gt;=500</t>
        </is>
      </c>
      <c r="F7" s="2" t="inlineStr">
        <is>
          <t>Service hole at 446mm from start (switch height)</t>
        </is>
      </c>
      <c r="G7" s="4" t="inlineStr">
        <is>
          <t>Spec'd</t>
        </is>
      </c>
      <c r="H7" s="2" t="inlineStr">
        <is>
          <t>docs/service-z-line-design.md
Same per-stud z-line projection as rule 5 — paired hole follows automatically when 2 horizontal z-lines (typically z=300 + z=450) cover the same stud.</t>
        </is>
      </c>
      <c r="I7"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7" s="6" t="inlineStr">
        <is>
          <t>HG260001
GF-LBW-70.075
frame L4
stick S11</t>
        </is>
      </c>
      <c r="K7" s="2" t="inlineStr">
        <is>
          <t>(see Source col)</t>
        </is>
      </c>
      <c r="L7" s="2" t="inlineStr">
        <is>
          <t>19,106 sticks / 169 pairs</t>
        </is>
      </c>
      <c r="M7" s="2" t="inlineStr">
        <is>
          <t>moderate</t>
        </is>
      </c>
      <c r="N7" s="2" t="inlineStr"/>
      <c r="O7" s="2" t="inlineStr"/>
      <c r="P7" s="7">
        <f>HYPERLINK("file:///C:/Users/Scott/CLAUDE CODE/hytek-rfy-codec/docs/rule-pdfs/rule-06.pdf","rule-06.pdf")</f>
        <v/>
      </c>
      <c r="Q7" s="7">
        <f>HYPERLINK("file:///Y:/(17) 2026 HYTEK PROJECTS/CORAL HOMES/HG260001 LOT 289 (29) COORA CRESENT CURRIMUNDI/06 MANUFACTURING/02 DRAWINGS MANUFACTURING/01 LGS/HG260001 LOT 289 COORA CRESCENT CURRIMUNDI 4551-GF-LBW-70.075.pdf","HG260001 LOT 289 COORA CRESCENT CURRIMUNDI 4551-GF")</f>
        <v/>
      </c>
      <c r="R7" s="7">
        <f>HYPERLINK("file:///Y:/(17) 2026 HYTEK PROJECTS/CORAL HOMES/HG260001 LOT 289 (29) COORA CRESENT CURRIMUNDI/01 PROJECT DOCUMENTATION/02 CURRENT DOCS/01 PDF/AC LAYOUT.pdf","AC LAYOUT.pdf")</f>
        <v/>
      </c>
      <c r="S7" s="7">
        <f>HYPERLINK("file:///Y:/(17) 2026 HYTEK PROJECTS/CORAL HOMES/HG260001 LOT 289 (29) COORA CRESENT CURRIMUNDI/03 DETAILING/03 FRAMECAD DETAILER/HG260001 LOT 289 (29) COORA CRESENT CURRIMUNDI.fcp","HG260001 LOT 289 (29) COORA CRESENT CURRIMUNDI.fcp")</f>
        <v/>
      </c>
      <c r="T7" s="7">
        <f>HYPERLINK("file:///Y:/(17) 2026 HYTEK PROJECTS/CORAL HOMES/HG260001 LOT 289 (29) COORA CRESENT CURRIMUNDI/03 DETAILING/03 FRAMECAD DETAILER/01 XML OUTPUT/HG260001 LOT 289 COORA CRESCENT CURRIMUNDI 4551-GF-LBW-70.075.xml","HG260001 LOT 289 COORA CRESCENT CURRIMUNDI 4551-GF")</f>
        <v/>
      </c>
    </row>
    <row r="8" ht="208" customHeight="1">
      <c r="A8" s="2" t="n">
        <v>7</v>
      </c>
      <c r="B8" s="2" t="inlineStr">
        <is>
          <t>A</t>
        </is>
      </c>
      <c r="C8" s="2" t="inlineStr">
        <is>
          <t>Wall studs (S, J)</t>
        </is>
      </c>
      <c r="D8" s="2" t="inlineStr">
        <is>
          <t>70/89mm</t>
        </is>
      </c>
      <c r="E8" s="2" t="inlineStr">
        <is>
          <t>framecad-import.ts post-process</t>
        </is>
      </c>
      <c r="F8" s="2" t="inlineStr">
        <is>
          <t>Web access holes evenly distributed in body</t>
        </is>
      </c>
      <c r="G8" s="8" t="inlineStr">
        <is>
          <t>No</t>
        </is>
      </c>
      <c r="H8" s="2" t="inlineStr"/>
      <c r="I8" s="5" t="inlineStr">
        <is>
          <t>MINED FROM 16,782 STICKS — overall 7.1% match
"Wall stud (&gt;=1.5m) has body Web hole(s) — count check"
By plan_type:
  LBW                               1184/9778  =  12.1%
  NLBW                                 3/7004  =   0.0%
By (plan_type, gauge):
  NLBW/0.75                            3/6949  =   0.0%
  LBW/0.75                           752/6532  =  11.5%
  LBW/0.95                           407/3044  =  13.4%
  LBW/1.15                            25/202   =  12.4%
  NLBW/0.95                            0/55    =   0.0%</t>
        </is>
      </c>
      <c r="J8" s="6" t="inlineStr">
        <is>
          <t>HG260001
GF-LBW-70.075
frame L4
stick S11</t>
        </is>
      </c>
      <c r="K8" s="2" t="inlineStr">
        <is>
          <t>What's the spacing rule for web access holes (fixed positions vs evenly distributed vs max-gap)?</t>
        </is>
      </c>
      <c r="L8" s="2" t="inlineStr">
        <is>
          <t>27,042 sticks / 236 pairs</t>
        </is>
      </c>
      <c r="M8" s="2" t="inlineStr">
        <is>
          <t>small</t>
        </is>
      </c>
      <c r="N8" s="2" t="inlineStr">
        <is>
          <t>WHAT WE EMIT: A series of evenly-spaced web access holes along the body of every wall stud, generated by framecad-import.ts post-processing. The number and spacing are hand-tuned, not derived from a HYTEK rule.
WHAT I NEED FROM YOU: For a 2400mm wall stud, what web holes does Detailer emit (positions in mm from the bottom)? Same question for a 2700mm and a 1800mm stud.</t>
        </is>
      </c>
      <c r="O8" s="9" t="inlineStr">
        <is>
          <t xml:space="preserve">THE RULE SHOULD FIRE WHEN: 
THE VALUES ARE: 
IT SHOULD NOT FIRE WHEN: 
WHY (physical reason): </t>
        </is>
      </c>
      <c r="P8" s="7">
        <f>HYPERLINK("file:///C:/Users/Scott/CLAUDE CODE/hytek-rfy-codec/docs/rule-pdfs/rule-07.pdf","rule-07.pdf")</f>
        <v/>
      </c>
      <c r="Q8" s="7">
        <f>HYPERLINK("file:///Y:/(17) 2026 HYTEK PROJECTS/CORAL HOMES/HG260001 LOT 289 (29) COORA CRESENT CURRIMUNDI/06 MANUFACTURING/02 DRAWINGS MANUFACTURING/01 LGS/HG260001 LOT 289 COORA CRESCENT CURRIMUNDI 4551-GF-LBW-70.075.pdf","HG260001 LOT 289 COORA CRESCENT CURRIMUNDI 4551-GF")</f>
        <v/>
      </c>
      <c r="R8" s="7">
        <f>HYPERLINK("file:///Y:/(17) 2026 HYTEK PROJECTS/CORAL HOMES/HG260001 LOT 289 (29) COORA CRESENT CURRIMUNDI/01 PROJECT DOCUMENTATION/02 CURRENT DOCS/01 PDF/CARPENTER LAYOUT.pdf","CARPENTER LAYOUT.pdf")</f>
        <v/>
      </c>
      <c r="S8" s="7">
        <f>HYPERLINK("file:///Y:/(17) 2026 HYTEK PROJECTS/CORAL HOMES/HG260001 LOT 289 (29) COORA CRESENT CURRIMUNDI/03 DETAILING/03 FRAMECAD DETAILER/HG260001 LOT 289 (29) COORA CRESENT CURRIMUNDI.fcp","HG260001 LOT 289 (29) COORA CRESENT CURRIMUNDI.fcp")</f>
        <v/>
      </c>
      <c r="T8" s="7">
        <f>HYPERLINK("file:///Y:/(17) 2026 HYTEK PROJECTS/CORAL HOMES/HG260001 LOT 289 (29) COORA CRESENT CURRIMUNDI/03 DETAILING/03 FRAMECAD DETAILER/01 XML OUTPUT/HG260001 LOT 289 COORA CRESCENT CURRIMUNDI 4551-GF-LBW-70.075.xml","HG260001 LOT 289 COORA CRESCENT CURRIMUNDI 4551-GF")</f>
        <v/>
      </c>
    </row>
    <row r="9" ht="169" customHeight="1">
      <c r="A9" s="2" t="n">
        <v>8</v>
      </c>
      <c r="B9" s="2" t="inlineStr">
        <is>
          <t>A</t>
        </is>
      </c>
      <c r="C9" s="2" t="inlineStr">
        <is>
          <t>Wall studs (S, J)</t>
        </is>
      </c>
      <c r="D9" s="2" t="inlineStr">
        <is>
          <t>89mm</t>
        </is>
      </c>
      <c r="E9" s="2" t="inlineStr">
        <is>
          <t>Always</t>
        </is>
      </c>
      <c r="F9" s="2" t="inlineStr">
        <is>
          <t>Same 4-op pattern as 70mm at 89mm constants</t>
        </is>
      </c>
      <c r="G9" s="8" t="inlineStr">
        <is>
          <t>No</t>
        </is>
      </c>
      <c r="H9" s="2" t="inlineStr"/>
      <c r="I9" s="5" t="inlineStr">
        <is>
          <t>MINED FROM 6,675 STICKS — overall 91.6% match
"89mm wall stud has standard 39mm Swage span at start"
By plan_type:
  LBW                               4107/4417  =  93.0%
  NLBW                              2005/2258  =  88.8%
By stick_profile:
  89S41_0.75                        5196/5674  =  91.6%
  89S41_0.95                         680/727   =  93.5%
  89S41_1.15                         236/274   =  86.1%</t>
        </is>
      </c>
      <c r="J9" s="6" t="inlineStr">
        <is>
          <t>HG260012
TH01-GF-LBW-89.075
frame L1101
stick S1</t>
        </is>
      </c>
      <c r="K9" s="2" t="inlineStr">
        <is>
          <t>Do 89mm wall studs really use the same 39mm cap and 16.5mm dimple as 70mm?</t>
        </is>
      </c>
      <c r="L9" s="2" t="inlineStr">
        <is>
          <t>7,104 sticks / 84 pairs</t>
        </is>
      </c>
      <c r="M9" s="2" t="inlineStr">
        <is>
          <t>small (corpus already aligns)</t>
        </is>
      </c>
      <c r="N9" s="2" t="inlineStr">
        <is>
          <t>WHAT WE EMIT: 89mm wall studs use the same 39mm Swage cap + 16.5mm dimple as 70mm. Constants come from MACHINE_SETUPS['6'] (F325iT 89mm) which has Tab=35 + Clearance=4 = 39, identical to 70mm.
WHAT I NEED FROM YOU: Confirm 89mm wall studs really use the same 39mm cap + 16.5mm dimple. If different, what are the values?</t>
        </is>
      </c>
      <c r="O9" s="9" t="inlineStr">
        <is>
          <t xml:space="preserve">THE RULE SHOULD FIRE WHEN: 
THE VALUES ARE: 
IT SHOULD NOT FIRE WHEN: 
WHY (physical reason): </t>
        </is>
      </c>
      <c r="P9" s="7">
        <f>HYPERLINK("file:///C:/Users/Scott/CLAUDE CODE/hytek-rfy-codec/docs/rule-pdfs/rule-08.pdf","rule-08.pdf")</f>
        <v/>
      </c>
      <c r="Q9" s="7">
        <f>HYPERLINK("file:///Y:/(17) 2026 HYTEK PROJECTS/AKAM CONSTRUCTIONS/HG260012 23 SPRINGWOOD ST TOWNHOUSES/06 MANUFACTURING/02 DRAWINGS MANUFACTURING/01 LGS/TH01-02/HG260012 [Akam] 23 Springwood Street -TH01-02-TH01-GF-LBW-89.075.pdf","HG260012 [Akam] 23 Springwood Street -TH01-02-TH01")</f>
        <v/>
      </c>
      <c r="R9" s="7">
        <f>HYPERLINK("file:///Y:/(17) 2026 HYTEK PROJECTS/AKAM CONSTRUCTIONS/HG260012 23 SPRINGWOOD ST TOWNHOUSES/01 PROJECT DOCUMENTATION/02 CURRENT DOCS/01 PDF/188. 23 Springwood St - Issue For Construction plan set.pdf","188. 23 Springwood St - Issue For Construction pla")</f>
        <v/>
      </c>
      <c r="S9" s="7">
        <f>HYPERLINK("file:///Y:/(17) 2026 HYTEK PROJECTS/AKAM CONSTRUCTIONS/HG260012 23 SPRINGWOOD ST TOWNHOUSES/03 DETAILING/03 FRAMECAD DETAILER/HG260012 [Akam] 23 Springwood Street -TH01-02.fcp","HG260012 [Akam] 23 Springwood Street -TH01-02.fcp")</f>
        <v/>
      </c>
      <c r="T9" s="7">
        <f>HYPERLINK("file:///Y:/(17) 2026 HYTEK PROJECTS/AKAM CONSTRUCTIONS/HG260012 23 SPRINGWOOD ST TOWNHOUSES/03 DETAILING/03 FRAMECAD DETAILER/01 XML OUTPUT/HG260012 [Akam] 23 Springwood Street -TH01-02-TH01-GF-LBW-89.075.xml","HG260012 [Akam] 23 Springwood Street -TH01-02-TH01")</f>
        <v/>
      </c>
    </row>
    <row r="10" ht="260" customHeight="1">
      <c r="A10" s="2" t="n">
        <v>9</v>
      </c>
      <c r="B10" s="2" t="inlineStr">
        <is>
          <t>B</t>
        </is>
      </c>
      <c r="C10" s="2" t="inlineStr">
        <is>
          <t>Cripple/king studs (Kb)</t>
        </is>
      </c>
      <c r="D10" s="2" t="inlineStr">
        <is>
          <t>70mm</t>
        </is>
      </c>
      <c r="E10" s="2" t="inlineStr">
        <is>
          <t>Kb only</t>
        </is>
      </c>
      <c r="F10" s="2" t="inlineStr">
        <is>
          <t>Chamfer at start ONLY (codec shortcut — actually wrong, real rule is auto-chamfer per-end)</t>
        </is>
      </c>
      <c r="G10" s="4" t="inlineStr">
        <is>
          <t>Spec'd</t>
        </is>
      </c>
      <c r="H10" s="2" t="inlineStr">
        <is>
          <t>machine-setups.ts: chamferTolerance + automaticChamfer
Replace 'Chamfer @start ONLY' with auto-chamfer collision check per-end. Fires when stick end protrudes into adjacent stick within chamferTolerance (4mm in HYTEK setup). Use chamferDetail triangle (14.5×11.5mm) for the cut. endToEndChamfers=false so only protruding end gets chamfered.</t>
        </is>
      </c>
      <c r="I10"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10" s="2" t="inlineStr"/>
      <c r="K10" s="2" t="inlineStr">
        <is>
          <t>(see Source col)</t>
        </is>
      </c>
      <c r="L10" s="2" t="inlineStr"/>
      <c r="M10" s="2" t="inlineStr">
        <is>
          <t>small (covered by auto-chamfer rewrite)</t>
        </is>
      </c>
      <c r="N10" s="2" t="inlineStr"/>
      <c r="O10" s="2" t="inlineStr"/>
      <c r="P10" s="2" t="inlineStr"/>
      <c r="Q10" s="7">
        <f>HYPERLINK("file:///Y:/(17) 2026 HYTEK PROJECTS/CORAL HOMES/HG260001 LOT 289 (29) COORA CRESENT CURRIMUNDI/06 MANUFACTURING/02 DRAWINGS MANUFACTURING/01 LGS/HG260001 LOT 289 COORA CRESCENT CURRIMUNDI 4551-GF-LBW-70.075.pdf","HG260001 LOT 289 COORA CRESCENT CURRIMUNDI 4551-GF")</f>
        <v/>
      </c>
      <c r="R10" s="7">
        <f>HYPERLINK("file:///Y:/(17) 2026 HYTEK PROJECTS/CORAL HOMES/HG260001 LOT 289 (29) COORA CRESENT CURRIMUNDI/01 PROJECT DOCUMENTATION/02 CURRENT DOCS/01 PDF/CONSTRUCTION DETAILS.pdf","CONSTRUCTION DETAILS.pdf")</f>
        <v/>
      </c>
      <c r="S10" s="7">
        <f>HYPERLINK("file:///Y:/(17) 2026 HYTEK PROJECTS/CORAL HOMES/HG260001 LOT 289 (29) COORA CRESENT CURRIMUNDI/03 DETAILING/03 FRAMECAD DETAILER/HG260001 LOT 289 (29) COORA CRESENT CURRIMUNDI.fcp","HG260001 LOT 289 (29) COORA CRESENT CURRIMUNDI.fcp")</f>
        <v/>
      </c>
      <c r="T10" s="7">
        <f>HYPERLINK("file:///Y:/(17) 2026 HYTEK PROJECTS/CORAL HOMES/HG260001 LOT 289 (29) COORA CRESENT CURRIMUNDI/03 DETAILING/03 FRAMECAD DETAILER/01 XML OUTPUT/HG260001 LOT 289 COORA CRESCENT CURRIMUNDI 4551-GF-LBW-70.075.xml","HG260001 LOT 289 COORA CRESCENT CURRIMUNDI 4551-GF")</f>
        <v/>
      </c>
    </row>
    <row r="11" ht="22" customHeight="1">
      <c r="A11" s="2" t="n">
        <v>10</v>
      </c>
      <c r="B11" s="2" t="inlineStr">
        <is>
          <t>B</t>
        </is>
      </c>
      <c r="C11" s="2" t="inlineStr">
        <is>
          <t>Cripple/king studs (Kb)</t>
        </is>
      </c>
      <c r="D11" s="2" t="inlineStr">
        <is>
          <t>70mm</t>
        </is>
      </c>
      <c r="E11" s="2" t="inlineStr">
        <is>
          <t>Kb only</t>
        </is>
      </c>
      <c r="F11" s="2" t="inlineStr">
        <is>
          <t>Start Swage 0..42mm</t>
        </is>
      </c>
      <c r="G11" s="3" t="inlineStr">
        <is>
          <t>Yes</t>
        </is>
      </c>
      <c r="H11" s="2" t="inlineStr"/>
      <c r="I11" s="2" t="inlineStr"/>
      <c r="J11" s="2" t="inlineStr"/>
      <c r="K11" s="2" t="inlineStr"/>
      <c r="L11" s="2" t="inlineStr">
        <is>
          <t>—</t>
        </is>
      </c>
      <c r="M11" s="2" t="inlineStr">
        <is>
          <t>—</t>
        </is>
      </c>
      <c r="N11" s="2" t="inlineStr"/>
      <c r="O11" s="2" t="inlineStr"/>
      <c r="P11" s="2" t="inlineStr"/>
      <c r="Q11" s="2" t="inlineStr"/>
      <c r="R11" s="2" t="inlineStr"/>
      <c r="S11" s="2" t="inlineStr"/>
      <c r="T11" s="2" t="inlineStr"/>
    </row>
    <row r="12" ht="22" customHeight="1">
      <c r="A12" s="2" t="n">
        <v>11</v>
      </c>
      <c r="B12" s="2" t="inlineStr">
        <is>
          <t>B</t>
        </is>
      </c>
      <c r="C12" s="2" t="inlineStr">
        <is>
          <t>Cripple/king studs (Kb)</t>
        </is>
      </c>
      <c r="D12" s="2" t="inlineStr">
        <is>
          <t>70mm</t>
        </is>
      </c>
      <c r="E12" s="2" t="inlineStr">
        <is>
          <t>Kb only</t>
        </is>
      </c>
      <c r="F12" s="2" t="inlineStr">
        <is>
          <t>Start InnerDimple at 10mm (NOT 16.5)</t>
        </is>
      </c>
      <c r="G12" s="3" t="inlineStr">
        <is>
          <t>Yes</t>
        </is>
      </c>
      <c r="H12" s="2" t="inlineStr"/>
      <c r="I12" s="2" t="inlineStr"/>
      <c r="J12" s="2" t="inlineStr"/>
      <c r="K12" s="2" t="inlineStr"/>
      <c r="L12" s="2" t="inlineStr">
        <is>
          <t>—</t>
        </is>
      </c>
      <c r="M12" s="2" t="inlineStr">
        <is>
          <t>—</t>
        </is>
      </c>
      <c r="N12" s="2" t="inlineStr"/>
      <c r="O12" s="2" t="inlineStr"/>
      <c r="P12" s="2" t="inlineStr"/>
      <c r="Q12" s="2" t="inlineStr"/>
      <c r="R12" s="2" t="inlineStr"/>
      <c r="S12" s="2" t="inlineStr"/>
      <c r="T12" s="2" t="inlineStr"/>
    </row>
    <row r="13" ht="260" customHeight="1">
      <c r="A13" s="2" t="n">
        <v>12</v>
      </c>
      <c r="B13" s="2" t="inlineStr">
        <is>
          <t>B</t>
        </is>
      </c>
      <c r="C13" s="2" t="inlineStr">
        <is>
          <t>Cripple/king studs (Kb)</t>
        </is>
      </c>
      <c r="D13" s="2" t="inlineStr">
        <is>
          <t>70mm</t>
        </is>
      </c>
      <c r="E13" s="2" t="inlineStr">
        <is>
          <t>Kb only, angle-dependent</t>
        </is>
      </c>
      <c r="F13" s="2" t="inlineStr">
        <is>
          <t>End Swage span = 45 / cos(angle from horizontal)</t>
        </is>
      </c>
      <c r="G13" s="4" t="inlineStr">
        <is>
          <t>Spec'd</t>
        </is>
      </c>
      <c r="H13" s="2" t="inlineStr">
        <is>
          <t>machine-setups.ts: chamferDetail + chamferTolerance
Replace '45/cos(angle)' formula with cap span derived from the chamfer triangle's max-x (14.5mm) projected onto the angled stick axis. Once the chamfer cuts, the end-cap follows the cut edge.</t>
        </is>
      </c>
      <c r="I13" s="5" t="inlineStr">
        <is>
          <t>MINED FROM 2,987 STICKS — overall 59.4% match
"Kb has angle-scaled end Swage (&gt;=50mm span — auto-chamfer fired)"
By plan_type:
  LBW                               1212/2021  =  60.0%
  NLBW                               361/692   =  52.2%
  RP                                 177/226   =  78.3%
  CP                                  24/48    =  50.0%
By (stick_profile, plan_type):
  89S41_0.75 | LBW                   517/747   =  69.2%
  70S41_0.75 | LBW                   386/734   =  52.6%
  70S41_0.75 | NLBW                  209/422   =  49.5%
  70S41_0.95 | LBW                   210/411   =  51.1%
  89S41_0.75 | NLBW                  147/260   =  56.5%</t>
        </is>
      </c>
      <c r="J13" s="6" t="inlineStr">
        <is>
          <t>HG260001
GF-LBW-70.075
frame PK4-L4
stick Kb1</t>
        </is>
      </c>
      <c r="K13" s="2" t="inlineStr">
        <is>
          <t>(see Source col)</t>
        </is>
      </c>
      <c r="L13" s="2" t="inlineStr">
        <is>
          <t>1,731 sticks / 94 pairs</t>
        </is>
      </c>
      <c r="M13" s="2" t="inlineStr">
        <is>
          <t>small</t>
        </is>
      </c>
      <c r="N13" s="2" t="inlineStr"/>
      <c r="O13" s="2" t="inlineStr"/>
      <c r="P13" s="7">
        <f>HYPERLINK("file:///C:/Users/Scott/CLAUDE CODE/hytek-rfy-codec/docs/rule-pdfs/rule-12.pdf","rule-12.pdf")</f>
        <v/>
      </c>
      <c r="Q13" s="7">
        <f>HYPERLINK("file:///Y:/(17) 2026 HYTEK PROJECTS/CORAL HOMES/HG260001 LOT 289 (29) COORA CRESENT CURRIMUNDI/06 MANUFACTURING/02 DRAWINGS MANUFACTURING/01 LGS/HG260001 LOT 289 COORA CRESCENT CURRIMUNDI 4551-GF-LBW-70.075.pdf","HG260001 LOT 289 COORA CRESCENT CURRIMUNDI 4551-GF")</f>
        <v/>
      </c>
      <c r="R13" s="7">
        <f>HYPERLINK("file:///Y:/(17) 2026 HYTEK PROJECTS/CORAL HOMES/HG260001 LOT 289 (29) COORA CRESENT CURRIMUNDI/01 PROJECT DOCUMENTATION/02 CURRENT DOCS/01 PDF/CONSTRUCTION DETAILS.pdf","CONSTRUCTION DETAILS.pdf")</f>
        <v/>
      </c>
      <c r="S13" s="7">
        <f>HYPERLINK("file:///Y:/(17) 2026 HYTEK PROJECTS/CORAL HOMES/HG260001 LOT 289 (29) COORA CRESENT CURRIMUNDI/03 DETAILING/03 FRAMECAD DETAILER/HG260001 LOT 289 (29) COORA CRESENT CURRIMUNDI.fcp","HG260001 LOT 289 (29) COORA CRESENT CURRIMUNDI.fcp")</f>
        <v/>
      </c>
      <c r="T13" s="7">
        <f>HYPERLINK("file:///Y:/(17) 2026 HYTEK PROJECTS/CORAL HOMES/HG260001 LOT 289 (29) COORA CRESENT CURRIMUNDI/03 DETAILING/03 FRAMECAD DETAILER/01 XML OUTPUT/HG260001 LOT 289 COORA CRESCENT CURRIMUNDI 4551-GF-LBW-70.075.xml","HG260001 LOT 289 COORA CRESCENT CURRIMUNDI 4551-GF")</f>
        <v/>
      </c>
    </row>
    <row r="14" ht="22" customHeight="1">
      <c r="A14" s="2" t="n">
        <v>13</v>
      </c>
      <c r="B14" s="2" t="inlineStr">
        <is>
          <t>B</t>
        </is>
      </c>
      <c r="C14" s="2" t="inlineStr">
        <is>
          <t>Cripple/king studs (Kb)</t>
        </is>
      </c>
      <c r="D14" s="2" t="inlineStr">
        <is>
          <t>70mm</t>
        </is>
      </c>
      <c r="E14" s="2" t="inlineStr">
        <is>
          <t>Kb only</t>
        </is>
      </c>
      <c r="F14" s="2" t="inlineStr">
        <is>
          <t>End InnerDimple at length-10</t>
        </is>
      </c>
      <c r="G14" s="3" t="inlineStr">
        <is>
          <t>Yes</t>
        </is>
      </c>
      <c r="H14" s="2" t="inlineStr"/>
      <c r="I14" s="2" t="inlineStr"/>
      <c r="J14" s="2" t="inlineStr"/>
      <c r="K14" s="2" t="inlineStr"/>
      <c r="L14" s="2" t="inlineStr">
        <is>
          <t>—</t>
        </is>
      </c>
      <c r="M14" s="2" t="inlineStr">
        <is>
          <t>—</t>
        </is>
      </c>
      <c r="N14" s="2" t="inlineStr"/>
      <c r="O14" s="2" t="inlineStr"/>
      <c r="P14" s="2" t="inlineStr"/>
      <c r="Q14" s="2" t="inlineStr"/>
      <c r="R14" s="2" t="inlineStr"/>
      <c r="S14" s="2" t="inlineStr"/>
      <c r="T14" s="2" t="inlineStr"/>
    </row>
    <row r="15" ht="252" customHeight="1">
      <c r="A15" s="2" t="n">
        <v>14</v>
      </c>
      <c r="B15" s="2" t="inlineStr">
        <is>
          <t>B</t>
        </is>
      </c>
      <c r="C15" s="2" t="inlineStr">
        <is>
          <t>Cripple/king studs (Kb)</t>
        </is>
      </c>
      <c r="D15" s="2" t="inlineStr">
        <is>
          <t>89mm</t>
        </is>
      </c>
      <c r="E15" s="2" t="inlineStr">
        <is>
          <t>Always</t>
        </is>
      </c>
      <c r="F15" s="2" t="inlineStr">
        <is>
          <t>Same Kb pattern as 70mm</t>
        </is>
      </c>
      <c r="G15" s="4" t="inlineStr">
        <is>
          <t>Spec'd</t>
        </is>
      </c>
      <c r="H15" s="2" t="inlineStr">
        <is>
          <t>machine-setups.ts: chamferTolerance + chamferDetail (89mm setup)
Same auto-chamfer rule as rule 9, applied to 89mm Kb. Setup 6 (F325iT 89mm) has identical chamfer constants to setup 2 (70mm).</t>
        </is>
      </c>
      <c r="I15" s="5" t="inlineStr">
        <is>
          <t>MINED FROM 2,987 STICKS — overall 59.4% match
"Kb has angle-scaled end Swage (&gt;=50mm span — auto-chamfer fired)"
By plan_type:
  LBW                               1212/2021  =  60.0%
  NLBW                               361/692   =  52.2%
  RP                                 177/226   =  78.3%
  CP                                  24/48    =  50.0%
By (stick_profile, plan_type):
  89S41_0.75 | LBW                   517/747   =  69.2%
  70S41_0.75 | LBW                   386/734   =  52.6%
  70S41_0.75 | NLBW                  209/422   =  49.5%
  70S41_0.95 | LBW                   210/411   =  51.1%
  89S41_0.75 | NLBW                  147/260   =  56.5%</t>
        </is>
      </c>
      <c r="J15" s="6" t="inlineStr">
        <is>
          <t>HG250030
GF-LBW-89.075
frame L24
stick Kb2</t>
        </is>
      </c>
      <c r="K15" s="2" t="inlineStr">
        <is>
          <t>(see Source col)</t>
        </is>
      </c>
      <c r="L15" s="2" t="inlineStr">
        <is>
          <t>1,256 sticks / 46 pairs</t>
        </is>
      </c>
      <c r="M15" s="2" t="inlineStr">
        <is>
          <t>small</t>
        </is>
      </c>
      <c r="N15" s="2" t="inlineStr"/>
      <c r="O15" s="2" t="inlineStr"/>
      <c r="P15" s="7">
        <f>HYPERLINK("file:///C:/Users/Scott/CLAUDE CODE/hytek-rfy-codec/docs/rule-pdfs/rule-14.pdf","rule-14.pdf")</f>
        <v/>
      </c>
      <c r="Q15" s="7">
        <f>HYPERLINK("file:///Y:/(14) 2025 HYTEK PROJECTS/BOWE ELECTRICAL/HG250030 24 BAYVIEW STREET WELLINGTON POINT/06 MANUFACTURING/02 DRAWINGS MANUFACTURING/01 LGS/HG250030 24 BAYVIEW STREET WELLINGTON POINT Rev 6-GF-LBW-89.075.pdf","HG250030 24 BAYVIEW STREET WELLINGTON POINT Rev 6-")</f>
        <v/>
      </c>
      <c r="R15" s="2" t="inlineStr"/>
      <c r="S15" s="7">
        <f>HYPERLINK("file:///Y:/(14) 2025 HYTEK PROJECTS/BOWE ELECTRICAL/HG250030 24 BAYVIEW STREET WELLINGTON POINT/03 DETAILING/03 FRAMECAD DETAILER/HG250030.fcp","HG250030.fcp")</f>
        <v/>
      </c>
      <c r="T15" s="7">
        <f>HYPERLINK("file:///Y:/(14) 2025 HYTEK PROJECTS/BOWE ELECTRICAL/HG250030 24 BAYVIEW STREET WELLINGTON POINT/03 DETAILING/03 FRAMECAD DETAILER/01 XML OUTPUT/HG250030 24 BAYVIEW STREET WELLINGTON POINT Rev 6-GF-LBW-89.075.xml","HG250030 24 BAYVIEW STREET WELLINGTON POINT Rev 6-")</f>
        <v/>
      </c>
    </row>
    <row r="16" ht="140" customHeight="1">
      <c r="A16" s="2" t="n">
        <v>15</v>
      </c>
      <c r="B16" s="2" t="inlineStr">
        <is>
          <t>C</t>
        </is>
      </c>
      <c r="C16" s="2" t="inlineStr">
        <is>
          <t>Header stud (H, single)</t>
        </is>
      </c>
      <c r="D16" s="2" t="inlineStr">
        <is>
          <t>70mm</t>
        </is>
      </c>
      <c r="E16" s="2" t="inlineStr">
        <is>
          <t>H not Kb</t>
        </is>
      </c>
      <c r="F16" s="2" t="inlineStr">
        <is>
          <t>End Swage span 43mm</t>
        </is>
      </c>
      <c r="G16" s="8" t="inlineStr">
        <is>
          <t>No</t>
        </is>
      </c>
      <c r="H16" s="2" t="inlineStr"/>
      <c r="I16" s="2" t="inlineStr"/>
      <c r="J16" s="6" t="inlineStr">
        <is>
          <t>HG260001
GF-LBW-70.075
frame PK4-L4
stick H1</t>
        </is>
      </c>
      <c r="K16" s="2" t="inlineStr">
        <is>
          <t>Is the cripple-role H rule actually live, or dead code? When does H differ from Kb?</t>
        </is>
      </c>
      <c r="L16" s="2" t="inlineStr">
        <is>
          <t>933 sticks / 80 pairs</t>
        </is>
      </c>
      <c r="M16" s="2" t="inlineStr">
        <is>
          <t>negligible</t>
        </is>
      </c>
      <c r="N16" s="2" t="inlineStr">
        <is>
          <t>WHAT WE EMIT: When a stick named H is matched as 'cripple' (not full header), end Swage span is 43mm.
WHAT WORRIES ME: There are two rules for sticks named H. Since H sticks always have role='H', HEADER_ROLES always wins, so this 43mm rule is probably DEAD CODE.
WHAT I NEED FROM YOU: Are there ever sticks named H that should be treated like cripple studs (43mm Swage cap) instead of full headers?</t>
        </is>
      </c>
      <c r="O16" s="9" t="inlineStr">
        <is>
          <t xml:space="preserve">THE RULE SHOULD FIRE WHEN: 
THE VALUES ARE: 
IT SHOULD NOT FIRE WHEN: 
WHY (physical reason): </t>
        </is>
      </c>
      <c r="P16" s="7">
        <f>HYPERLINK("file:///C:/Users/Scott/CLAUDE CODE/hytek-rfy-codec/docs/rule-pdfs/rule-15.pdf","rule-15.pdf")</f>
        <v/>
      </c>
      <c r="Q16" s="7">
        <f>HYPERLINK("file:///Y:/(17) 2026 HYTEK PROJECTS/CORAL HOMES/HG260001 LOT 289 (29) COORA CRESENT CURRIMUNDI/06 MANUFACTURING/02 DRAWINGS MANUFACTURING/01 LGS/HG260001 LOT 289 COORA CRESCENT CURRIMUNDI 4551-GF-LBW-70.075.pdf","HG260001 LOT 289 COORA CRESCENT CURRIMUNDI 4551-GF")</f>
        <v/>
      </c>
      <c r="R16" s="7">
        <f>HYPERLINK("file:///Y:/(17) 2026 HYTEK PROJECTS/CORAL HOMES/HG260001 LOT 289 (29) COORA CRESENT CURRIMUNDI/01 PROJECT DOCUMENTATION/02 CURRENT DOCS/01 PDF/CONSTRUCTION DETAILS.pdf","CONSTRUCTION DETAILS.pdf")</f>
        <v/>
      </c>
      <c r="S16" s="7">
        <f>HYPERLINK("file:///Y:/(17) 2026 HYTEK PROJECTS/CORAL HOMES/HG260001 LOT 289 (29) COORA CRESENT CURRIMUNDI/03 DETAILING/03 FRAMECAD DETAILER/HG260001 LOT 289 (29) COORA CRESENT CURRIMUNDI.fcp","HG260001 LOT 289 (29) COORA CRESENT CURRIMUNDI.fcp")</f>
        <v/>
      </c>
      <c r="T16" s="7">
        <f>HYPERLINK("file:///Y:/(17) 2026 HYTEK PROJECTS/CORAL HOMES/HG260001 LOT 289 (29) COORA CRESENT CURRIMUNDI/03 DETAILING/03 FRAMECAD DETAILER/01 XML OUTPUT/HG260001 LOT 289 COORA CRESCENT CURRIMUNDI 4551-GF-LBW-70.075.xml","HG260001 LOT 289 COORA CRESCENT CURRIMUNDI 4551-GF")</f>
        <v/>
      </c>
    </row>
    <row r="17" ht="22" customHeight="1">
      <c r="A17" s="2" t="n">
        <v>16</v>
      </c>
      <c r="B17" s="2" t="inlineStr">
        <is>
          <t>D</t>
        </is>
      </c>
      <c r="C17" s="2" t="inlineStr">
        <is>
          <t>Short top plate (T&lt;200mm)</t>
        </is>
      </c>
      <c r="D17" s="2" t="inlineStr">
        <is>
          <t>70mm</t>
        </is>
      </c>
      <c r="E17" s="2" t="inlineStr">
        <is>
          <t>Length&lt;200mm</t>
        </is>
      </c>
      <c r="F17" s="2" t="inlineStr">
        <is>
          <t>Start InnerNotch span 39mm</t>
        </is>
      </c>
      <c r="G17" s="3" t="inlineStr">
        <is>
          <t>Yes</t>
        </is>
      </c>
      <c r="H17" s="2" t="inlineStr"/>
      <c r="I17" s="2" t="inlineStr"/>
      <c r="J17" s="2" t="inlineStr"/>
      <c r="K17" s="2" t="inlineStr"/>
      <c r="L17" s="2" t="inlineStr">
        <is>
          <t>—</t>
        </is>
      </c>
      <c r="M17" s="2" t="inlineStr">
        <is>
          <t>—</t>
        </is>
      </c>
      <c r="N17" s="2" t="inlineStr"/>
      <c r="O17" s="2" t="inlineStr"/>
      <c r="P17" s="2" t="inlineStr"/>
      <c r="Q17" s="2" t="inlineStr"/>
      <c r="R17" s="2" t="inlineStr"/>
      <c r="S17" s="2" t="inlineStr"/>
      <c r="T17" s="2" t="inlineStr"/>
    </row>
    <row r="18" ht="22" customHeight="1">
      <c r="A18" s="2" t="n">
        <v>17</v>
      </c>
      <c r="B18" s="2" t="inlineStr">
        <is>
          <t>D</t>
        </is>
      </c>
      <c r="C18" s="2" t="inlineStr">
        <is>
          <t>Short top plate (T&lt;200mm)</t>
        </is>
      </c>
      <c r="D18" s="2" t="inlineStr">
        <is>
          <t>70mm</t>
        </is>
      </c>
      <c r="E18" s="2" t="inlineStr">
        <is>
          <t>Length&lt;200mm</t>
        </is>
      </c>
      <c r="F18" s="2" t="inlineStr">
        <is>
          <t>Start LipNotch span 39mm</t>
        </is>
      </c>
      <c r="G18" s="3" t="inlineStr">
        <is>
          <t>Yes</t>
        </is>
      </c>
      <c r="H18" s="2" t="inlineStr"/>
      <c r="I18" s="2" t="inlineStr"/>
      <c r="J18" s="2" t="inlineStr"/>
      <c r="K18" s="2" t="inlineStr"/>
      <c r="L18" s="2" t="inlineStr">
        <is>
          <t>—</t>
        </is>
      </c>
      <c r="M18" s="2" t="inlineStr">
        <is>
          <t>—</t>
        </is>
      </c>
      <c r="N18" s="2" t="inlineStr"/>
      <c r="O18" s="2" t="inlineStr"/>
      <c r="P18" s="2" t="inlineStr"/>
      <c r="Q18" s="2" t="inlineStr"/>
      <c r="R18" s="2" t="inlineStr"/>
      <c r="S18" s="2" t="inlineStr"/>
      <c r="T18" s="2" t="inlineStr"/>
    </row>
    <row r="19" ht="22" customHeight="1">
      <c r="A19" s="2" t="n">
        <v>18</v>
      </c>
      <c r="B19" s="2" t="inlineStr">
        <is>
          <t>D</t>
        </is>
      </c>
      <c r="C19" s="2" t="inlineStr">
        <is>
          <t>Short top plate (T&lt;200mm)</t>
        </is>
      </c>
      <c r="D19" s="2" t="inlineStr">
        <is>
          <t>70mm</t>
        </is>
      </c>
      <c r="E19" s="2" t="inlineStr">
        <is>
          <t>Length&lt;200mm</t>
        </is>
      </c>
      <c r="F19" s="2" t="inlineStr">
        <is>
          <t>Start InnerDimple at 16.5</t>
        </is>
      </c>
      <c r="G19" s="3" t="inlineStr">
        <is>
          <t>Yes</t>
        </is>
      </c>
      <c r="H19" s="2" t="inlineStr"/>
      <c r="I19" s="2" t="inlineStr"/>
      <c r="J19" s="2" t="inlineStr"/>
      <c r="K19" s="2" t="inlineStr"/>
      <c r="L19" s="2" t="inlineStr">
        <is>
          <t>—</t>
        </is>
      </c>
      <c r="M19" s="2" t="inlineStr">
        <is>
          <t>—</t>
        </is>
      </c>
      <c r="N19" s="2" t="inlineStr"/>
      <c r="O19" s="2" t="inlineStr"/>
      <c r="P19" s="2" t="inlineStr"/>
      <c r="Q19" s="2" t="inlineStr"/>
      <c r="R19" s="2" t="inlineStr"/>
      <c r="S19" s="2" t="inlineStr"/>
      <c r="T19" s="2" t="inlineStr"/>
    </row>
    <row r="20" ht="208" customHeight="1">
      <c r="A20" s="2" t="n">
        <v>19</v>
      </c>
      <c r="B20" s="2" t="inlineStr">
        <is>
          <t>D</t>
        </is>
      </c>
      <c r="C20" s="2" t="inlineStr">
        <is>
          <t>Short top plate (T&lt;200mm)</t>
        </is>
      </c>
      <c r="D20" s="2" t="inlineStr">
        <is>
          <t>70mm</t>
        </is>
      </c>
      <c r="E20" s="2" t="inlineStr">
        <is>
          <t>Length&lt;200mm AND LBW</t>
        </is>
      </c>
      <c r="F20" s="2" t="inlineStr">
        <is>
          <t>Start InnerDimple at 58.5 (paired)</t>
        </is>
      </c>
      <c r="G20" s="8" t="inlineStr">
        <is>
          <t>No</t>
        </is>
      </c>
      <c r="H20" s="2" t="inlineStr"/>
      <c r="I20" s="5" t="inlineStr">
        <is>
          <t>MINED FROM 1,465 STICKS — overall 49.7% match
"Header @58.5 paired dimple — does Detailer emit it?"
By plan_type:
  LBW                                720/1007  =  71.5%
  NLBW                                 8/458   =   1.7%
By (plan_type, gauge):
  LBW/0.75                           446/599   =  74.5%
  NLBW/0.75                            8/448   =   1.8%
  LBW/0.95                           240/351   =  68.4%
  LBW/1.15                            34/57    =  59.6%
  NLBW/0.95                            0/10    =   0.0%</t>
        </is>
      </c>
      <c r="J20" s="6" t="inlineStr">
        <is>
          <t>HG260001
GF-LBW-70.075
frame PK4-L4
stick T2</t>
        </is>
      </c>
      <c r="K20" s="2" t="inlineStr">
        <is>
          <t>Why is the 58.5 paired dimple LBW-only? What does it represent physically (strap, screw, joist hanger)?</t>
        </is>
      </c>
      <c r="L20" s="2" t="inlineStr">
        <is>
          <t>224 sticks / 50 pairs</t>
        </is>
      </c>
      <c r="M20" s="2" t="inlineStr">
        <is>
          <t>small</t>
        </is>
      </c>
      <c r="N20" s="2" t="inlineStr">
        <is>
          <t>WHAT WE EMIT: Short top sub-plates (T&lt;200mm, sit ABOVE a header) get a paired dimple at 58.5mm from the start. ONLY on LBW plans, not NLBW.
WHAT DETAILER DOES: HG260001 PK4 LBW L4 (T2/T3/T4 sub-plates 121-127mm) shows ref dimples at 58.5. Our NLBW corpus doesn't.
WHAT I NEED FROM YOU: What does the 58.5 dimple represent physically (strap, header connector, joist hanger)? Why is it LBW-only?</t>
        </is>
      </c>
      <c r="O20" s="9" t="inlineStr">
        <is>
          <t xml:space="preserve">THE RULE SHOULD FIRE WHEN: 
THE VALUES ARE: 
IT SHOULD NOT FIRE WHEN: 
WHY (physical reason): </t>
        </is>
      </c>
      <c r="P20" s="7">
        <f>HYPERLINK("file:///C:/Users/Scott/CLAUDE CODE/hytek-rfy-codec/docs/rule-pdfs/rule-19.pdf","rule-19.pdf")</f>
        <v/>
      </c>
      <c r="Q20" s="7">
        <f>HYPERLINK("file:///Y:/(17) 2026 HYTEK PROJECTS/CORAL HOMES/HG260001 LOT 289 (29) COORA CRESENT CURRIMUNDI/06 MANUFACTURING/02 DRAWINGS MANUFACTURING/01 LGS/HG260001 LOT 289 COORA CRESCENT CURRIMUNDI 4551-GF-LBW-70.075.pdf","HG260001 LOT 289 COORA CRESCENT CURRIMUNDI 4551-GF")</f>
        <v/>
      </c>
      <c r="R20" s="7">
        <f>HYPERLINK("file:///Y:/(17) 2026 HYTEK PROJECTS/CORAL HOMES/HG260001 LOT 289 (29) COORA CRESENT CURRIMUNDI/01 PROJECT DOCUMENTATION/02 CURRENT DOCS/01 PDF/43983 - TURNBULL - VO2 COLOUR- LBW MARKUP.pdf","43983 - TURNBULL - VO2 COLOUR- LBW MARKUP.pdf")</f>
        <v/>
      </c>
      <c r="S20" s="7">
        <f>HYPERLINK("file:///Y:/(17) 2026 HYTEK PROJECTS/CORAL HOMES/HG260001 LOT 289 (29) COORA CRESENT CURRIMUNDI/03 DETAILING/03 FRAMECAD DETAILER/HG260001 LOT 289 (29) COORA CRESENT CURRIMUNDI.fcp","HG260001 LOT 289 (29) COORA CRESENT CURRIMUNDI.fcp")</f>
        <v/>
      </c>
      <c r="T20" s="7">
        <f>HYPERLINK("file:///Y:/(17) 2026 HYTEK PROJECTS/CORAL HOMES/HG260001 LOT 289 (29) COORA CRESENT CURRIMUNDI/03 DETAILING/03 FRAMECAD DETAILER/01 XML OUTPUT/HG260001 LOT 289 COORA CRESCENT CURRIMUNDI 4551-GF-LBW-70.075.xml","HG260001 LOT 289 COORA CRESCENT CURRIMUNDI 4551-GF")</f>
        <v/>
      </c>
    </row>
    <row r="21" ht="169" customHeight="1">
      <c r="A21" s="2" t="n">
        <v>20</v>
      </c>
      <c r="B21" s="2" t="inlineStr">
        <is>
          <t>D</t>
        </is>
      </c>
      <c r="C21" s="2" t="inlineStr">
        <is>
          <t>Short top plate (T&lt;200mm)</t>
        </is>
      </c>
      <c r="D21" s="2" t="inlineStr">
        <is>
          <t>70mm</t>
        </is>
      </c>
      <c r="E21" s="2" t="inlineStr">
        <is>
          <t>Length&lt;200mm AND LBW</t>
        </is>
      </c>
      <c r="F21" s="2" t="inlineStr">
        <is>
          <t>End InnerDimple at length-58.5</t>
        </is>
      </c>
      <c r="G21" s="8" t="inlineStr">
        <is>
          <t>No</t>
        </is>
      </c>
      <c r="H21" s="2" t="inlineStr"/>
      <c r="I21" s="5" t="inlineStr">
        <is>
          <t>MINED FROM 1,465 STICKS — overall 49.7% match
"Header @58.5 paired dimple — does Detailer emit it?"
By plan_type:
  LBW                                720/1007  =  71.5%
  NLBW                                 8/458   =   1.7%
By (plan_type, gauge):
  LBW/0.75                           446/599   =  74.5%
  NLBW/0.75                            8/448   =   1.8%
  LBW/0.95                           240/351   =  68.4%
  LBW/1.15                            34/57    =  59.6%
  NLBW/0.95                            0/10    =   0.0%</t>
        </is>
      </c>
      <c r="J21" s="6" t="inlineStr">
        <is>
          <t>HG260001
GF-LBW-70.075
frame PK4-L4
stick T2</t>
        </is>
      </c>
      <c r="K21" s="2" t="inlineStr">
        <is>
          <t>Same answer as rule 19 (mirror at end).</t>
        </is>
      </c>
      <c r="L21" s="2" t="inlineStr">
        <is>
          <t>224 sticks / 50 pairs</t>
        </is>
      </c>
      <c r="M21" s="2" t="inlineStr">
        <is>
          <t>small</t>
        </is>
      </c>
      <c r="N21" s="2" t="inlineStr">
        <is>
          <t>Mirror of rule 19 at the end (length-58.5). Once rule 19 is settled, the other follows.</t>
        </is>
      </c>
      <c r="O21" s="9" t="inlineStr">
        <is>
          <t xml:space="preserve">THE RULE SHOULD FIRE WHEN: 
THE VALUES ARE: 
IT SHOULD NOT FIRE WHEN: 
WHY (physical reason): </t>
        </is>
      </c>
      <c r="P21" s="7">
        <f>HYPERLINK("file:///C:/Users/Scott/CLAUDE CODE/hytek-rfy-codec/docs/rule-pdfs/rule-20.pdf","rule-20.pdf")</f>
        <v/>
      </c>
      <c r="Q21" s="7">
        <f>HYPERLINK("file:///Y:/(17) 2026 HYTEK PROJECTS/CORAL HOMES/HG260001 LOT 289 (29) COORA CRESENT CURRIMUNDI/06 MANUFACTURING/02 DRAWINGS MANUFACTURING/01 LGS/HG260001 LOT 289 COORA CRESCENT CURRIMUNDI 4551-GF-LBW-70.075.pdf","HG260001 LOT 289 COORA CRESCENT CURRIMUNDI 4551-GF")</f>
        <v/>
      </c>
      <c r="R21" s="7">
        <f>HYPERLINK("file:///Y:/(17) 2026 HYTEK PROJECTS/CORAL HOMES/HG260001 LOT 289 (29) COORA CRESENT CURRIMUNDI/01 PROJECT DOCUMENTATION/02 CURRENT DOCS/01 PDF/43983 - TURNBULL - VO2 COLOUR- LBW MARKUP.pdf","43983 - TURNBULL - VO2 COLOUR- LBW MARKUP.pdf")</f>
        <v/>
      </c>
      <c r="S21" s="7">
        <f>HYPERLINK("file:///Y:/(17) 2026 HYTEK PROJECTS/CORAL HOMES/HG260001 LOT 289 (29) COORA CRESENT CURRIMUNDI/03 DETAILING/03 FRAMECAD DETAILER/HG260001 LOT 289 (29) COORA CRESENT CURRIMUNDI.fcp","HG260001 LOT 289 (29) COORA CRESENT CURRIMUNDI.fcp")</f>
        <v/>
      </c>
      <c r="T21" s="7">
        <f>HYPERLINK("file:///Y:/(17) 2026 HYTEK PROJECTS/CORAL HOMES/HG260001 LOT 289 (29) COORA CRESENT CURRIMUNDI/03 DETAILING/03 FRAMECAD DETAILER/01 XML OUTPUT/HG260001 LOT 289 COORA CRESCENT CURRIMUNDI 4551-GF-LBW-70.075.xml","HG260001 LOT 289 COORA CRESCENT CURRIMUNDI 4551-GF")</f>
        <v/>
      </c>
    </row>
    <row r="22" ht="22" customHeight="1">
      <c r="A22" s="2" t="n">
        <v>21</v>
      </c>
      <c r="B22" s="2" t="inlineStr">
        <is>
          <t>D</t>
        </is>
      </c>
      <c r="C22" s="2" t="inlineStr">
        <is>
          <t>Short top plate (T&lt;200mm)</t>
        </is>
      </c>
      <c r="D22" s="2" t="inlineStr">
        <is>
          <t>70mm</t>
        </is>
      </c>
      <c r="E22" s="2" t="inlineStr">
        <is>
          <t>Length&lt;200mm</t>
        </is>
      </c>
      <c r="F22" s="2" t="inlineStr">
        <is>
          <t>End InnerDimple at length-16.5</t>
        </is>
      </c>
      <c r="G22" s="3" t="inlineStr">
        <is>
          <t>Yes</t>
        </is>
      </c>
      <c r="H22" s="2" t="inlineStr"/>
      <c r="I22" s="2" t="inlineStr"/>
      <c r="J22" s="2" t="inlineStr"/>
      <c r="K22" s="2" t="inlineStr"/>
      <c r="L22" s="2" t="inlineStr">
        <is>
          <t>—</t>
        </is>
      </c>
      <c r="M22" s="2" t="inlineStr">
        <is>
          <t>—</t>
        </is>
      </c>
      <c r="N22" s="2" t="inlineStr"/>
      <c r="O22" s="2" t="inlineStr"/>
      <c r="P22" s="2" t="inlineStr"/>
      <c r="Q22" s="2" t="inlineStr"/>
      <c r="R22" s="2" t="inlineStr"/>
      <c r="S22" s="2" t="inlineStr"/>
      <c r="T22" s="2" t="inlineStr"/>
    </row>
    <row r="23" ht="22" customHeight="1">
      <c r="A23" s="2" t="n">
        <v>22</v>
      </c>
      <c r="B23" s="2" t="inlineStr">
        <is>
          <t>D</t>
        </is>
      </c>
      <c r="C23" s="2" t="inlineStr">
        <is>
          <t>Short top plate (T&lt;200mm)</t>
        </is>
      </c>
      <c r="D23" s="2" t="inlineStr">
        <is>
          <t>70mm</t>
        </is>
      </c>
      <c r="E23" s="2" t="inlineStr">
        <is>
          <t>Length&lt;200mm</t>
        </is>
      </c>
      <c r="F23" s="2" t="inlineStr">
        <is>
          <t>End InnerNotch span 39mm</t>
        </is>
      </c>
      <c r="G23" s="3" t="inlineStr">
        <is>
          <t>Yes</t>
        </is>
      </c>
      <c r="H23" s="2" t="inlineStr"/>
      <c r="I23" s="2" t="inlineStr"/>
      <c r="J23" s="2" t="inlineStr"/>
      <c r="K23" s="2" t="inlineStr"/>
      <c r="L23" s="2" t="inlineStr">
        <is>
          <t>—</t>
        </is>
      </c>
      <c r="M23" s="2" t="inlineStr">
        <is>
          <t>—</t>
        </is>
      </c>
      <c r="N23" s="2" t="inlineStr"/>
      <c r="O23" s="2" t="inlineStr"/>
      <c r="P23" s="2" t="inlineStr"/>
      <c r="Q23" s="2" t="inlineStr"/>
      <c r="R23" s="2" t="inlineStr"/>
      <c r="S23" s="2" t="inlineStr"/>
      <c r="T23" s="2" t="inlineStr"/>
    </row>
    <row r="24" ht="22" customHeight="1">
      <c r="A24" s="2" t="n">
        <v>23</v>
      </c>
      <c r="B24" s="2" t="inlineStr">
        <is>
          <t>D</t>
        </is>
      </c>
      <c r="C24" s="2" t="inlineStr">
        <is>
          <t>Short top plate (T&lt;200mm)</t>
        </is>
      </c>
      <c r="D24" s="2" t="inlineStr">
        <is>
          <t>70mm</t>
        </is>
      </c>
      <c r="E24" s="2" t="inlineStr">
        <is>
          <t>Length&lt;200mm</t>
        </is>
      </c>
      <c r="F24" s="2" t="inlineStr">
        <is>
          <t>End LipNotch span 39mm</t>
        </is>
      </c>
      <c r="G24" s="3" t="inlineStr">
        <is>
          <t>Yes</t>
        </is>
      </c>
      <c r="H24" s="2" t="inlineStr"/>
      <c r="I24" s="2" t="inlineStr"/>
      <c r="J24" s="2" t="inlineStr"/>
      <c r="K24" s="2" t="inlineStr"/>
      <c r="L24" s="2" t="inlineStr">
        <is>
          <t>—</t>
        </is>
      </c>
      <c r="M24" s="2" t="inlineStr">
        <is>
          <t>—</t>
        </is>
      </c>
      <c r="N24" s="2" t="inlineStr"/>
      <c r="O24" s="2" t="inlineStr"/>
      <c r="P24" s="2" t="inlineStr"/>
      <c r="Q24" s="2" t="inlineStr"/>
      <c r="R24" s="2" t="inlineStr"/>
      <c r="S24" s="2" t="inlineStr"/>
      <c r="T24" s="2" t="inlineStr"/>
    </row>
    <row r="25" ht="22" customHeight="1">
      <c r="A25" s="2" t="n">
        <v>24</v>
      </c>
      <c r="B25" s="2" t="inlineStr">
        <is>
          <t>E</t>
        </is>
      </c>
      <c r="C25" s="2" t="inlineStr">
        <is>
          <t>Long top plate (T&gt;=200mm)</t>
        </is>
      </c>
      <c r="D25" s="2" t="inlineStr">
        <is>
          <t>70mm</t>
        </is>
      </c>
      <c r="E25" s="2" t="inlineStr">
        <is>
          <t>Length&gt;=200mm</t>
        </is>
      </c>
      <c r="F25" s="2" t="inlineStr">
        <is>
          <t>Start LipNotch span 39mm</t>
        </is>
      </c>
      <c r="G25" s="3" t="inlineStr">
        <is>
          <t>Yes</t>
        </is>
      </c>
      <c r="H25" s="2" t="inlineStr"/>
      <c r="I25" s="2" t="inlineStr"/>
      <c r="J25" s="2" t="inlineStr"/>
      <c r="K25" s="2" t="inlineStr"/>
      <c r="L25" s="2" t="inlineStr">
        <is>
          <t>—</t>
        </is>
      </c>
      <c r="M25" s="2" t="inlineStr">
        <is>
          <t>—</t>
        </is>
      </c>
      <c r="N25" s="2" t="inlineStr"/>
      <c r="O25" s="2" t="inlineStr"/>
      <c r="P25" s="2" t="inlineStr"/>
      <c r="Q25" s="2" t="inlineStr"/>
      <c r="R25" s="2" t="inlineStr"/>
      <c r="S25" s="2" t="inlineStr"/>
      <c r="T25" s="2" t="inlineStr"/>
    </row>
    <row r="26" ht="22" customHeight="1">
      <c r="A26" s="2" t="n">
        <v>25</v>
      </c>
      <c r="B26" s="2" t="inlineStr">
        <is>
          <t>E</t>
        </is>
      </c>
      <c r="C26" s="2" t="inlineStr">
        <is>
          <t>Long top plate (T&gt;=200mm)</t>
        </is>
      </c>
      <c r="D26" s="2" t="inlineStr">
        <is>
          <t>70mm</t>
        </is>
      </c>
      <c r="E26" s="2" t="inlineStr">
        <is>
          <t>Length&gt;=200mm</t>
        </is>
      </c>
      <c r="F26" s="2" t="inlineStr">
        <is>
          <t>Start InnerDimple at 16.5</t>
        </is>
      </c>
      <c r="G26" s="3" t="inlineStr">
        <is>
          <t>Yes</t>
        </is>
      </c>
      <c r="H26" s="2" t="inlineStr"/>
      <c r="I26" s="2" t="inlineStr"/>
      <c r="J26" s="2" t="inlineStr"/>
      <c r="K26" s="2" t="inlineStr"/>
      <c r="L26" s="2" t="inlineStr">
        <is>
          <t>—</t>
        </is>
      </c>
      <c r="M26" s="2" t="inlineStr">
        <is>
          <t>—</t>
        </is>
      </c>
      <c r="N26" s="2" t="inlineStr"/>
      <c r="O26" s="2" t="inlineStr"/>
      <c r="P26" s="2" t="inlineStr"/>
      <c r="Q26" s="2" t="inlineStr"/>
      <c r="R26" s="2" t="inlineStr"/>
      <c r="S26" s="2" t="inlineStr"/>
      <c r="T26" s="2" t="inlineStr"/>
    </row>
    <row r="27" ht="22" customHeight="1">
      <c r="A27" s="2" t="n">
        <v>26</v>
      </c>
      <c r="B27" s="2" t="inlineStr">
        <is>
          <t>E</t>
        </is>
      </c>
      <c r="C27" s="2" t="inlineStr">
        <is>
          <t>Long top plate (T&gt;=200mm)</t>
        </is>
      </c>
      <c r="D27" s="2" t="inlineStr">
        <is>
          <t>70mm</t>
        </is>
      </c>
      <c r="E27" s="2" t="inlineStr">
        <is>
          <t>Length&gt;=200mm</t>
        </is>
      </c>
      <c r="F27" s="2" t="inlineStr">
        <is>
          <t>End LipNotch span 39mm</t>
        </is>
      </c>
      <c r="G27" s="3" t="inlineStr">
        <is>
          <t>Yes</t>
        </is>
      </c>
      <c r="H27" s="2" t="inlineStr"/>
      <c r="I27" s="2" t="inlineStr"/>
      <c r="J27" s="2" t="inlineStr"/>
      <c r="K27" s="2" t="inlineStr"/>
      <c r="L27" s="2" t="inlineStr">
        <is>
          <t>—</t>
        </is>
      </c>
      <c r="M27" s="2" t="inlineStr">
        <is>
          <t>—</t>
        </is>
      </c>
      <c r="N27" s="2" t="inlineStr"/>
      <c r="O27" s="2" t="inlineStr"/>
      <c r="P27" s="2" t="inlineStr"/>
      <c r="Q27" s="2" t="inlineStr"/>
      <c r="R27" s="2" t="inlineStr"/>
      <c r="S27" s="2" t="inlineStr"/>
      <c r="T27" s="2" t="inlineStr"/>
    </row>
    <row r="28" ht="22" customHeight="1">
      <c r="A28" s="2" t="n">
        <v>27</v>
      </c>
      <c r="B28" s="2" t="inlineStr">
        <is>
          <t>E</t>
        </is>
      </c>
      <c r="C28" s="2" t="inlineStr">
        <is>
          <t>Long top plate (T&gt;=200mm)</t>
        </is>
      </c>
      <c r="D28" s="2" t="inlineStr">
        <is>
          <t>70mm</t>
        </is>
      </c>
      <c r="E28" s="2" t="inlineStr">
        <is>
          <t>Length&gt;=200mm</t>
        </is>
      </c>
      <c r="F28" s="2" t="inlineStr">
        <is>
          <t>End InnerDimple at length-16.5</t>
        </is>
      </c>
      <c r="G28" s="3" t="inlineStr">
        <is>
          <t>Yes</t>
        </is>
      </c>
      <c r="H28" s="2" t="inlineStr"/>
      <c r="I28" s="2" t="inlineStr"/>
      <c r="J28" s="2" t="inlineStr"/>
      <c r="K28" s="2" t="inlineStr"/>
      <c r="L28" s="2" t="inlineStr">
        <is>
          <t>—</t>
        </is>
      </c>
      <c r="M28" s="2" t="inlineStr">
        <is>
          <t>—</t>
        </is>
      </c>
      <c r="N28" s="2" t="inlineStr"/>
      <c r="O28" s="2" t="inlineStr"/>
      <c r="P28" s="2" t="inlineStr"/>
      <c r="Q28" s="2" t="inlineStr"/>
      <c r="R28" s="2" t="inlineStr"/>
      <c r="S28" s="2" t="inlineStr"/>
      <c r="T28" s="2" t="inlineStr"/>
    </row>
    <row r="29" ht="247" customHeight="1">
      <c r="A29" s="2" t="n">
        <v>28</v>
      </c>
      <c r="B29" s="2" t="inlineStr">
        <is>
          <t>E</t>
        </is>
      </c>
      <c r="C29" s="2" t="inlineStr">
        <is>
          <t>Long top plate (T&gt;=200mm)</t>
        </is>
      </c>
      <c r="D29" s="2" t="inlineStr">
        <is>
          <t>70mm</t>
        </is>
      </c>
      <c r="E29" s="2" t="inlineStr">
        <is>
          <t>DELIBERATELY NOT EMITTED</t>
        </is>
      </c>
      <c r="F29" s="2" t="inlineStr">
        <is>
          <t>InnerNotch on long T plates</t>
        </is>
      </c>
      <c r="G29" s="8" t="inlineStr">
        <is>
          <t>No</t>
        </is>
      </c>
      <c r="H29" s="2" t="inlineStr"/>
      <c r="I29" s="5" t="inlineStr">
        <is>
          <t>MINED FROM 5,662 STICKS — overall 4.7% match
"Long T plate has InnerNotch"
By plan_type:
  NLBW                                13/1747  =   0.7%
  LBW                                 31/1385  =   2.2%
  RP                                 123/1115  =  11.0%
  TIN                                 88/726   =  12.1%
  TB2B                                 0/478   =   0.0%
By (plan_type, frame_type):
  NLBW/InternalWall                   13/1726  =   0.8%
  RP/RoofPanel                       123/1115  =  11.0%
  LBW/ExternalWall                    24/935   =   2.6%
  TIN/Truss                           87/721   =  12.1%
  TB2B/Truss                           0/478   =   0.0%</t>
        </is>
      </c>
      <c r="J29" s="6" t="inlineStr">
        <is>
          <t>HG260001
GF-LBW-70.075
frame PK4-L4
stick T1</t>
        </is>
      </c>
      <c r="K29" s="2" t="inlineStr">
        <is>
          <t>When SHOULD a long T plate get InnerNotch? At king-stud crossings only? Above openings? At plate joints?</t>
        </is>
      </c>
      <c r="L29" s="2" t="inlineStr">
        <is>
          <t>4,637 sticks / 277 pairs</t>
        </is>
      </c>
      <c r="M29" s="2" t="inlineStr">
        <is>
          <t>moderate</t>
        </is>
      </c>
      <c r="N29" s="2" t="inlineStr">
        <is>
          <t>WHAT WE EMIT: Nothing — InnerNotch on long top plates is DELIBERATELY DISABLED. Blind emission produced 100 extras vs only 12 matches.
WHAT DETAILER DOES: SOME long T plates DO get InnerNotches. We just haven't found the discriminator.
WHAT I NEED FROM YOU: When does a long T plate get an InnerNotch? At king-stud crossings only? Above openings? At plate joints?</t>
        </is>
      </c>
      <c r="O29" s="9" t="inlineStr">
        <is>
          <t xml:space="preserve">THE RULE SHOULD FIRE WHEN: 
THE VALUES ARE: 
IT SHOULD NOT FIRE WHEN: 
WHY (physical reason): </t>
        </is>
      </c>
      <c r="P29" s="7">
        <f>HYPERLINK("file:///C:/Users/Scott/CLAUDE CODE/hytek-rfy-codec/docs/rule-pdfs/rule-28.pdf","rule-28.pdf")</f>
        <v/>
      </c>
      <c r="Q29" s="7">
        <f>HYPERLINK("file:///Y:/(17) 2026 HYTEK PROJECTS/CORAL HOMES/HG260001 LOT 289 (29) COORA CRESENT CURRIMUNDI/06 MANUFACTURING/02 DRAWINGS MANUFACTURING/01 LGS/HG260001 LOT 289 COORA CRESCENT CURRIMUNDI 4551-GF-LBW-70.075.pdf","HG260001 LOT 289 COORA CRESCENT CURRIMUNDI 4551-GF")</f>
        <v/>
      </c>
      <c r="R29" s="7">
        <f>HYPERLINK("file:///Y:/(17) 2026 HYTEK PROJECTS/CORAL HOMES/HG260001 LOT 289 (29) COORA CRESENT CURRIMUNDI/01 PROJECT DOCUMENTATION/02 CURRENT DOCS/01 PDF/CONSTRUCTION DETAILS.pdf","CONSTRUCTION DETAILS.pdf")</f>
        <v/>
      </c>
      <c r="S29" s="7">
        <f>HYPERLINK("file:///Y:/(17) 2026 HYTEK PROJECTS/CORAL HOMES/HG260001 LOT 289 (29) COORA CRESENT CURRIMUNDI/03 DETAILING/03 FRAMECAD DETAILER/HG260001 LOT 289 (29) COORA CRESENT CURRIMUNDI.fcp","HG260001 LOT 289 (29) COORA CRESENT CURRIMUNDI.fcp")</f>
        <v/>
      </c>
      <c r="T29" s="7">
        <f>HYPERLINK("file:///Y:/(17) 2026 HYTEK PROJECTS/CORAL HOMES/HG260001 LOT 289 (29) COORA CRESENT CURRIMUNDI/03 DETAILING/03 FRAMECAD DETAILER/01 XML OUTPUT/HG260001 LOT 289 COORA CRESCENT CURRIMUNDI 4551-GF-LBW-70.075.xml","HG260001 LOT 289 COORA CRESCENT CURRIMUNDI 4551-GF")</f>
        <v/>
      </c>
    </row>
    <row r="30" ht="260" customHeight="1">
      <c r="A30" s="2" t="n">
        <v>29</v>
      </c>
      <c r="B30" s="2" t="inlineStr">
        <is>
          <t>E</t>
        </is>
      </c>
      <c r="C30" s="2" t="inlineStr">
        <is>
          <t>Long top plate (T&gt;=200mm)</t>
        </is>
      </c>
      <c r="D30" s="2" t="inlineStr">
        <is>
          <t>70mm</t>
        </is>
      </c>
      <c r="E30" s="2" t="inlineStr">
        <is>
          <t>DELIBERATELY NOT EMITTED</t>
        </is>
      </c>
      <c r="F30" s="2" t="inlineStr">
        <is>
          <t>InnerService holes on T plates</t>
        </is>
      </c>
      <c r="G30" s="4" t="inlineStr">
        <is>
          <t>Spec'd</t>
        </is>
      </c>
      <c r="H30" s="2" t="inlineStr">
        <is>
          <t>docs/service-z-line-design.md
Same z-line projection rule as rule 5, applied to top plates. Existing post-decode block at scripts/diff-vs-detailer.mjs:642 already does this for T+N nogs — extends to all wall-plan T plates.</t>
        </is>
      </c>
      <c r="I30" s="5" t="inlineStr">
        <is>
          <t>MINED FROM 6,059 STICKS — overall 46.9% match
"Top plate has InnerService"
By plan_type:
  NLBW                              1603/1791  =  89.5%
  LBW                               1241/1648  =  75.3%
  RP                                   0/1154  =   0.0%
  TIN                                  0/766   =   0.0%
  TB2B                                 0/479   =   0.0%
By (plan_type, gauge):
  NLBW/0.75                         1594/1779  =  89.6%
  LBW/0.75                           874/1106  =  79.0%
  RP/0.75                              0/1071  =   0.0%
  LBW/0.95                           347/512   =  67.8%
  TIN/0.75                             0/396   =   0.0%</t>
        </is>
      </c>
      <c r="J30" s="6" t="inlineStr">
        <is>
          <t>HG260001
GF-LBW-70.075
frame PK4-L4
stick T1</t>
        </is>
      </c>
      <c r="K30" s="2" t="inlineStr">
        <is>
          <t>(see Source col)</t>
        </is>
      </c>
      <c r="L30" s="2" t="inlineStr">
        <is>
          <t>4,637 sticks / 277 pairs</t>
        </is>
      </c>
      <c r="M30" s="2" t="inlineStr">
        <is>
          <t>moderate</t>
        </is>
      </c>
      <c r="N30" s="2" t="inlineStr"/>
      <c r="O30" s="2" t="inlineStr"/>
      <c r="P30" s="7">
        <f>HYPERLINK("file:///C:/Users/Scott/CLAUDE CODE/hytek-rfy-codec/docs/rule-pdfs/rule-29.pdf","rule-29.pdf")</f>
        <v/>
      </c>
      <c r="Q30" s="7">
        <f>HYPERLINK("file:///Y:/(17) 2026 HYTEK PROJECTS/CORAL HOMES/HG260001 LOT 289 (29) COORA CRESENT CURRIMUNDI/06 MANUFACTURING/02 DRAWINGS MANUFACTURING/01 LGS/HG260001 LOT 289 COORA CRESCENT CURRIMUNDI 4551-GF-LBW-70.075.pdf","HG260001 LOT 289 COORA CRESCENT CURRIMUNDI 4551-GF")</f>
        <v/>
      </c>
      <c r="R30" s="7">
        <f>HYPERLINK("file:///Y:/(17) 2026 HYTEK PROJECTS/CORAL HOMES/HG260001 LOT 289 (29) COORA CRESENT CURRIMUNDI/01 PROJECT DOCUMENTATION/02 CURRENT DOCS/01 PDF/AC LAYOUT.pdf","AC LAYOUT.pdf")</f>
        <v/>
      </c>
      <c r="S30" s="7">
        <f>HYPERLINK("file:///Y:/(17) 2026 HYTEK PROJECTS/CORAL HOMES/HG260001 LOT 289 (29) COORA CRESENT CURRIMUNDI/03 DETAILING/03 FRAMECAD DETAILER/HG260001 LOT 289 (29) COORA CRESENT CURRIMUNDI.fcp","HG260001 LOT 289 (29) COORA CRESENT CURRIMUNDI.fcp")</f>
        <v/>
      </c>
      <c r="T30" s="7">
        <f>HYPERLINK("file:///Y:/(17) 2026 HYTEK PROJECTS/CORAL HOMES/HG260001 LOT 289 (29) COORA CRESENT CURRIMUNDI/03 DETAILING/03 FRAMECAD DETAILER/01 XML OUTPUT/HG260001 LOT 289 COORA CRESCENT CURRIMUNDI 4551-GF-LBW-70.075.xml","HG260001 LOT 289 COORA CRESCENT CURRIMUNDI 4551-GF")</f>
        <v/>
      </c>
    </row>
    <row r="31" ht="140" customHeight="1">
      <c r="A31" s="2" t="n">
        <v>30</v>
      </c>
      <c r="B31" s="2" t="inlineStr">
        <is>
          <t>E</t>
        </is>
      </c>
      <c r="C31" s="2" t="inlineStr">
        <is>
          <t>Long top plate (T&gt;=200mm)</t>
        </is>
      </c>
      <c r="D31" s="2" t="inlineStr">
        <is>
          <t>89mm</t>
        </is>
      </c>
      <c r="E31" s="2" t="inlineStr">
        <is>
          <t>Length&gt;=200mm</t>
        </is>
      </c>
      <c r="F31" s="2" t="inlineStr">
        <is>
          <t>Same 4-op pattern as 70mm</t>
        </is>
      </c>
      <c r="G31" s="8" t="inlineStr">
        <is>
          <t>No</t>
        </is>
      </c>
      <c r="H31" s="2" t="inlineStr"/>
      <c r="I31" s="2" t="inlineStr"/>
      <c r="J31" s="6" t="inlineStr">
        <is>
          <t>HG260012
TH01-GF-LBW-89.075
frame L1101
stick T1</t>
        </is>
      </c>
      <c r="K31" s="2" t="inlineStr">
        <is>
          <t>Do 89mm long T plates match 70mm pattern?</t>
        </is>
      </c>
      <c r="L31" s="2" t="inlineStr">
        <is>
          <t>1,041 sticks / 102 pairs</t>
        </is>
      </c>
      <c r="M31" s="2" t="inlineStr">
        <is>
          <t>small</t>
        </is>
      </c>
      <c r="N31" s="2" t="inlineStr">
        <is>
          <t>Same shape as rule 8 — 89mm long T plates use the 70mm pattern. Confirm or correct.</t>
        </is>
      </c>
      <c r="O31" s="9" t="inlineStr">
        <is>
          <t xml:space="preserve">THE RULE SHOULD FIRE WHEN: 
THE VALUES ARE: 
IT SHOULD NOT FIRE WHEN: 
WHY (physical reason): </t>
        </is>
      </c>
      <c r="P31" s="7">
        <f>HYPERLINK("file:///C:/Users/Scott/CLAUDE CODE/hytek-rfy-codec/docs/rule-pdfs/rule-30.pdf","rule-30.pdf")</f>
        <v/>
      </c>
      <c r="Q31" s="7">
        <f>HYPERLINK("file:///Y:/(17) 2026 HYTEK PROJECTS/AKAM CONSTRUCTIONS/HG260012 23 SPRINGWOOD ST TOWNHOUSES/06 MANUFACTURING/02 DRAWINGS MANUFACTURING/01 LGS/TH01-02/HG260012 [Akam] 23 Springwood Street -TH01-02-TH01-GF-LBW-89.075.pdf","HG260012 [Akam] 23 Springwood Street -TH01-02-TH01")</f>
        <v/>
      </c>
      <c r="R31" s="7">
        <f>HYPERLINK("file:///Y:/(17) 2026 HYTEK PROJECTS/AKAM CONSTRUCTIONS/HG260012 23 SPRINGWOOD ST TOWNHOUSES/01 PROJECT DOCUMENTATION/02 CURRENT DOCS/01 PDF/188. 23 Springwood St - Issue For Construction plan set.pdf","188. 23 Springwood St - Issue For Construction pla")</f>
        <v/>
      </c>
      <c r="S31" s="7">
        <f>HYPERLINK("file:///Y:/(17) 2026 HYTEK PROJECTS/AKAM CONSTRUCTIONS/HG260012 23 SPRINGWOOD ST TOWNHOUSES/03 DETAILING/03 FRAMECAD DETAILER/HG260012 [Akam] 23 Springwood Street -TH01-02.fcp","HG260012 [Akam] 23 Springwood Street -TH01-02.fcp")</f>
        <v/>
      </c>
      <c r="T31" s="7">
        <f>HYPERLINK("file:///Y:/(17) 2026 HYTEK PROJECTS/AKAM CONSTRUCTIONS/HG260012 23 SPRINGWOOD ST TOWNHOUSES/03 DETAILING/03 FRAMECAD DETAILER/01 XML OUTPUT/HG260012 [Akam] 23 Springwood Street -TH01-02-TH01-GF-LBW-89.075.xml","HG260012 [Akam] 23 Springwood Street -TH01-02-TH01")</f>
        <v/>
      </c>
    </row>
    <row r="32" ht="22" customHeight="1">
      <c r="A32" s="2" t="n">
        <v>31</v>
      </c>
      <c r="B32" s="2" t="inlineStr">
        <is>
          <t>F</t>
        </is>
      </c>
      <c r="C32" s="2" t="inlineStr">
        <is>
          <t>Bottom plate (B, Bp)</t>
        </is>
      </c>
      <c r="D32" s="2" t="inlineStr">
        <is>
          <t>70mm</t>
        </is>
      </c>
      <c r="E32" s="2" t="inlineStr">
        <is>
          <t>Always</t>
        </is>
      </c>
      <c r="F32" s="2" t="inlineStr">
        <is>
          <t>Start LipNotch span 39mm</t>
        </is>
      </c>
      <c r="G32" s="3" t="inlineStr">
        <is>
          <t>Yes</t>
        </is>
      </c>
      <c r="H32" s="2" t="inlineStr"/>
      <c r="I32" s="2" t="inlineStr"/>
      <c r="J32" s="2" t="inlineStr"/>
      <c r="K32" s="2" t="inlineStr"/>
      <c r="L32" s="2" t="inlineStr">
        <is>
          <t>—</t>
        </is>
      </c>
      <c r="M32" s="2" t="inlineStr">
        <is>
          <t>—</t>
        </is>
      </c>
      <c r="N32" s="2" t="inlineStr"/>
      <c r="O32" s="2" t="inlineStr"/>
      <c r="P32" s="2" t="inlineStr"/>
      <c r="Q32" s="2" t="inlineStr"/>
      <c r="R32" s="2" t="inlineStr"/>
      <c r="S32" s="2" t="inlineStr"/>
      <c r="T32" s="2" t="inlineStr"/>
    </row>
    <row r="33" ht="273" customHeight="1">
      <c r="A33" s="2" t="n">
        <v>32</v>
      </c>
      <c r="B33" s="2" t="inlineStr">
        <is>
          <t>F</t>
        </is>
      </c>
      <c r="C33" s="2" t="inlineStr">
        <is>
          <t>Bottom plate (B, Bp)</t>
        </is>
      </c>
      <c r="D33" s="2" t="inlineStr">
        <is>
          <t>70mm</t>
        </is>
      </c>
      <c r="E33" s="2" t="inlineStr">
        <is>
          <t>Primary B + GF + LBW/NLBW</t>
        </is>
      </c>
      <c r="F33" s="2" t="inlineStr">
        <is>
          <t>Start Web hole at 8mm (slab wiring)</t>
        </is>
      </c>
      <c r="G33" s="8" t="inlineStr">
        <is>
          <t>No</t>
        </is>
      </c>
      <c r="H33" s="2" t="inlineStr"/>
      <c r="I33"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3" s="6" t="inlineStr">
        <is>
          <t>HG260001
GF-LBW-70.075
frame PK1-N1
stick B1</t>
        </is>
      </c>
      <c r="K33" s="2" t="inlineStr">
        <is>
          <t>Confirm gates: primary B (B1 or &gt;=1500mm) + ground floor + wall plan?</t>
        </is>
      </c>
      <c r="L33" s="2" t="inlineStr">
        <is>
          <t>3,360 sticks / 94 pairs</t>
        </is>
      </c>
      <c r="M33" s="2" t="inlineStr">
        <is>
          <t>moderate</t>
        </is>
      </c>
      <c r="N33" s="2" t="inlineStr">
        <is>
          <t>WHAT WE EMIT: A Web hole at 8mm from the start of a 70mm bottom plate, but only when ALL THREE conditions are true: (a) the plate is 'primary' (B1, OR length &gt;= 1500mm), (b) the plan name has '-GF-' (ground floor), (c) the plan is LBW or NLBW.
WHAT DETAILER DOES: This is what I observed across 4 corpora — but the rule was assembled by trial-and-error. B-sub-plates above doors, non-ground-floor walls, and truss/joist plans don't get Web@8.
WHAT I NEED FROM YOU: Confirm the three gates. Is 8mm the right offset? Any 89mm-specific differences?</t>
        </is>
      </c>
      <c r="O33" s="9" t="inlineStr">
        <is>
          <t xml:space="preserve">THE RULE SHOULD FIRE WHEN: 
THE VALUES ARE: 
IT SHOULD NOT FIRE WHEN: 
WHY (physical reason): </t>
        </is>
      </c>
      <c r="P33" s="7">
        <f>HYPERLINK("file:///C:/Users/Scott/CLAUDE CODE/hytek-rfy-codec/docs/rule-pdfs/rule-32.pdf","rule-32.pdf")</f>
        <v/>
      </c>
      <c r="Q33" s="7">
        <f>HYPERLINK("file:///Y:/(17) 2026 HYTEK PROJECTS/CORAL HOMES/HG260001 LOT 289 (29) COORA CRESENT CURRIMUNDI/06 MANUFACTURING/02 DRAWINGS MANUFACTURING/01 LGS/HG260001 LOT 289 COORA CRESCENT CURRIMUNDI 4551-GF-LBW-70.075.pdf","HG260001 LOT 289 COORA CRESCENT CURRIMUNDI 4551-GF")</f>
        <v/>
      </c>
      <c r="R33" s="7">
        <f>HYPERLINK("file:///Y:/(17) 2026 HYTEK PROJECTS/CORAL HOMES/HG260001 LOT 289 (29) COORA CRESENT CURRIMUNDI/01 PROJECT DOCUMENTATION/02 CURRENT DOCS/01 PDF/SLAB DESIGN.pdf","SLAB DESIGN.pdf")</f>
        <v/>
      </c>
      <c r="S33" s="7">
        <f>HYPERLINK("file:///Y:/(17) 2026 HYTEK PROJECTS/CORAL HOMES/HG260001 LOT 289 (29) COORA CRESENT CURRIMUNDI/03 DETAILING/03 FRAMECAD DETAILER/HG260001 LOT 289 (29) COORA CRESENT CURRIMUNDI.fcp","HG260001 LOT 289 (29) COORA CRESENT CURRIMUNDI.fcp")</f>
        <v/>
      </c>
      <c r="T33" s="7">
        <f>HYPERLINK("file:///Y:/(17) 2026 HYTEK PROJECTS/CORAL HOMES/HG260001 LOT 289 (29) COORA CRESENT CURRIMUNDI/03 DETAILING/03 FRAMECAD DETAILER/01 XML OUTPUT/HG260001 LOT 289 COORA CRESCENT CURRIMUNDI 4551-GF-LBW-70.075.xml","HG260001 LOT 289 COORA CRESCENT CURRIMUNDI 4551-GF")</f>
        <v/>
      </c>
    </row>
    <row r="34" ht="22" customHeight="1">
      <c r="A34" s="2" t="n">
        <v>33</v>
      </c>
      <c r="B34" s="2" t="inlineStr">
        <is>
          <t>F</t>
        </is>
      </c>
      <c r="C34" s="2" t="inlineStr">
        <is>
          <t>Bottom plate (B, Bp)</t>
        </is>
      </c>
      <c r="D34" s="2" t="inlineStr">
        <is>
          <t>70mm</t>
        </is>
      </c>
      <c r="E34" s="2" t="inlineStr">
        <is>
          <t>Always</t>
        </is>
      </c>
      <c r="F34" s="2" t="inlineStr">
        <is>
          <t>Start InnerDimple at 16.5</t>
        </is>
      </c>
      <c r="G34" s="3" t="inlineStr">
        <is>
          <t>Yes</t>
        </is>
      </c>
      <c r="H34" s="2" t="inlineStr"/>
      <c r="I34" s="2" t="inlineStr"/>
      <c r="J34" s="2" t="inlineStr"/>
      <c r="K34" s="2" t="inlineStr"/>
      <c r="L34" s="2" t="inlineStr">
        <is>
          <t>—</t>
        </is>
      </c>
      <c r="M34" s="2" t="inlineStr">
        <is>
          <t>—</t>
        </is>
      </c>
      <c r="N34" s="2" t="inlineStr"/>
      <c r="O34" s="2" t="inlineStr"/>
      <c r="P34" s="2" t="inlineStr"/>
      <c r="Q34" s="2" t="inlineStr"/>
      <c r="R34" s="2" t="inlineStr"/>
      <c r="S34" s="2" t="inlineStr"/>
      <c r="T34" s="2" t="inlineStr"/>
    </row>
    <row r="35" ht="247" customHeight="1">
      <c r="A35" s="2" t="n">
        <v>34</v>
      </c>
      <c r="B35" s="2" t="inlineStr">
        <is>
          <t>F</t>
        </is>
      </c>
      <c r="C35" s="2" t="inlineStr">
        <is>
          <t>Bottom plate (B, Bp)</t>
        </is>
      </c>
      <c r="D35" s="2" t="inlineStr">
        <is>
          <t>70mm</t>
        </is>
      </c>
      <c r="E35" s="2" t="inlineStr">
        <is>
          <t>Same gates as rule 32</t>
        </is>
      </c>
      <c r="F35" s="2" t="inlineStr">
        <is>
          <t>Start Bolt at 62mm (slab anchor)</t>
        </is>
      </c>
      <c r="G35" s="8" t="inlineStr">
        <is>
          <t>No</t>
        </is>
      </c>
      <c r="H35" s="2" t="inlineStr"/>
      <c r="I35"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5" s="6" t="inlineStr">
        <is>
          <t>HG260001
GF-LBW-70.075
frame PK1-N1
stick B1</t>
        </is>
      </c>
      <c r="K35" s="2" t="inlineStr">
        <is>
          <t>Where does the 62mm offset come from? Always 62 or scales with profile/bolt spec? Middle bolts on long plates?</t>
        </is>
      </c>
      <c r="L35" s="2" t="inlineStr">
        <is>
          <t>3,360 sticks / 94 pairs</t>
        </is>
      </c>
      <c r="M35" s="2" t="inlineStr">
        <is>
          <t>moderate</t>
        </is>
      </c>
      <c r="N35" s="2" t="inlineStr">
        <is>
          <t>WHAT WE EMIT: A Bolt at 62mm from the start of a primary ground-floor B plate. Same gates as rule 32.
WHAT WORRIES ME: 62mm isn't documented. The setup field 'boltHoleToEnd' = 20 doesn't match. 62mm is empirical.
WHAT I NEED FROM YOU: Where does 62mm come from? Always 62 or scales with plate length / bolt spec? For long plates, do you put MORE bolts in the middle?</t>
        </is>
      </c>
      <c r="O35" s="9" t="inlineStr">
        <is>
          <t xml:space="preserve">THE RULE SHOULD FIRE WHEN: 
THE VALUES ARE: 
IT SHOULD NOT FIRE WHEN: 
WHY (physical reason): </t>
        </is>
      </c>
      <c r="P35" s="7">
        <f>HYPERLINK("file:///C:/Users/Scott/CLAUDE CODE/hytek-rfy-codec/docs/rule-pdfs/rule-34.pdf","rule-34.pdf")</f>
        <v/>
      </c>
      <c r="Q35" s="7">
        <f>HYPERLINK("file:///Y:/(17) 2026 HYTEK PROJECTS/CORAL HOMES/HG260001 LOT 289 (29) COORA CRESENT CURRIMUNDI/06 MANUFACTURING/02 DRAWINGS MANUFACTURING/01 LGS/HG260001 LOT 289 COORA CRESCENT CURRIMUNDI 4551-GF-LBW-70.075.pdf","HG260001 LOT 289 COORA CRESCENT CURRIMUNDI 4551-GF")</f>
        <v/>
      </c>
      <c r="R35" s="7">
        <f>HYPERLINK("file:///Y:/(17) 2026 HYTEK PROJECTS/CORAL HOMES/HG260001 LOT 289 (29) COORA CRESENT CURRIMUNDI/01 PROJECT DOCUMENTATION/02 CURRENT DOCS/01 PDF/SLAB DESIGN.pdf","SLAB DESIGN.pdf")</f>
        <v/>
      </c>
      <c r="S35" s="7">
        <f>HYPERLINK("file:///Y:/(17) 2026 HYTEK PROJECTS/CORAL HOMES/HG260001 LOT 289 (29) COORA CRESENT CURRIMUNDI/03 DETAILING/03 FRAMECAD DETAILER/HG260001 LOT 289 (29) COORA CRESENT CURRIMUNDI.fcp","HG260001 LOT 289 (29) COORA CRESENT CURRIMUNDI.fcp")</f>
        <v/>
      </c>
      <c r="T35" s="7">
        <f>HYPERLINK("file:///Y:/(17) 2026 HYTEK PROJECTS/CORAL HOMES/HG260001 LOT 289 (29) COORA CRESENT CURRIMUNDI/03 DETAILING/03 FRAMECAD DETAILER/01 XML OUTPUT/HG260001 LOT 289 COORA CRESCENT CURRIMUNDI 4551-GF-LBW-70.075.xml","HG260001 LOT 289 COORA CRESCENT CURRIMUNDI 4551-GF")</f>
        <v/>
      </c>
    </row>
    <row r="36" ht="22" customHeight="1">
      <c r="A36" s="2" t="n">
        <v>35</v>
      </c>
      <c r="B36" s="2" t="inlineStr">
        <is>
          <t>F</t>
        </is>
      </c>
      <c r="C36" s="2" t="inlineStr">
        <is>
          <t>Bottom plate (B, Bp)</t>
        </is>
      </c>
      <c r="D36" s="2" t="inlineStr">
        <is>
          <t>70mm</t>
        </is>
      </c>
      <c r="E36" s="2" t="inlineStr">
        <is>
          <t>Always</t>
        </is>
      </c>
      <c r="F36" s="2" t="inlineStr">
        <is>
          <t>End LipNotch span 39mm</t>
        </is>
      </c>
      <c r="G36" s="3" t="inlineStr">
        <is>
          <t>Yes</t>
        </is>
      </c>
      <c r="H36" s="2" t="inlineStr"/>
      <c r="I36" s="2" t="inlineStr"/>
      <c r="J36" s="2" t="inlineStr"/>
      <c r="K36" s="2" t="inlineStr"/>
      <c r="L36" s="2" t="inlineStr">
        <is>
          <t>—</t>
        </is>
      </c>
      <c r="M36" s="2" t="inlineStr">
        <is>
          <t>—</t>
        </is>
      </c>
      <c r="N36" s="2" t="inlineStr"/>
      <c r="O36" s="2" t="inlineStr"/>
      <c r="P36" s="2" t="inlineStr"/>
      <c r="Q36" s="2" t="inlineStr"/>
      <c r="R36" s="2" t="inlineStr"/>
      <c r="S36" s="2" t="inlineStr"/>
      <c r="T36" s="2" t="inlineStr"/>
    </row>
    <row r="37" ht="208" customHeight="1">
      <c r="A37" s="2" t="n">
        <v>36</v>
      </c>
      <c r="B37" s="2" t="inlineStr">
        <is>
          <t>F</t>
        </is>
      </c>
      <c r="C37" s="2" t="inlineStr">
        <is>
          <t>Bottom plate (B, Bp)</t>
        </is>
      </c>
      <c r="D37" s="2" t="inlineStr">
        <is>
          <t>70mm</t>
        </is>
      </c>
      <c r="E37" s="2" t="inlineStr">
        <is>
          <t>Same gates as rule 32</t>
        </is>
      </c>
      <c r="F37" s="2" t="inlineStr">
        <is>
          <t>End Bolt at length-62</t>
        </is>
      </c>
      <c r="G37" s="8" t="inlineStr">
        <is>
          <t>No</t>
        </is>
      </c>
      <c r="H37" s="2" t="inlineStr"/>
      <c r="I37"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7" s="6" t="inlineStr">
        <is>
          <t>HG260001
GF-LBW-70.075
frame PK1-N1
stick B1</t>
        </is>
      </c>
      <c r="K37" s="2" t="inlineStr">
        <is>
          <t>Same as rule 34 (mirror at end).</t>
        </is>
      </c>
      <c r="L37" s="2" t="inlineStr">
        <is>
          <t>3,360 sticks / 94 pairs</t>
        </is>
      </c>
      <c r="M37" s="2" t="inlineStr">
        <is>
          <t>moderate</t>
        </is>
      </c>
      <c r="N37" s="2" t="inlineStr">
        <is>
          <t>Mirror of rule 34 at the end. Once 34 is settled, this follows. ALSO: when the plate is short, does it still get bolts at both ends or just one centered?</t>
        </is>
      </c>
      <c r="O37" s="9" t="inlineStr">
        <is>
          <t xml:space="preserve">THE RULE SHOULD FIRE WHEN: 
THE VALUES ARE: 
IT SHOULD NOT FIRE WHEN: 
WHY (physical reason): </t>
        </is>
      </c>
      <c r="P37" s="7">
        <f>HYPERLINK("file:///C:/Users/Scott/CLAUDE CODE/hytek-rfy-codec/docs/rule-pdfs/rule-36.pdf","rule-36.pdf")</f>
        <v/>
      </c>
      <c r="Q37" s="7">
        <f>HYPERLINK("file:///Y:/(17) 2026 HYTEK PROJECTS/CORAL HOMES/HG260001 LOT 289 (29) COORA CRESENT CURRIMUNDI/06 MANUFACTURING/02 DRAWINGS MANUFACTURING/01 LGS/HG260001 LOT 289 COORA CRESCENT CURRIMUNDI 4551-GF-LBW-70.075.pdf","HG260001 LOT 289 COORA CRESCENT CURRIMUNDI 4551-GF")</f>
        <v/>
      </c>
      <c r="R37" s="7">
        <f>HYPERLINK("file:///Y:/(17) 2026 HYTEK PROJECTS/CORAL HOMES/HG260001 LOT 289 (29) COORA CRESENT CURRIMUNDI/01 PROJECT DOCUMENTATION/02 CURRENT DOCS/01 PDF/SLAB DESIGN.pdf","SLAB DESIGN.pdf")</f>
        <v/>
      </c>
      <c r="S37" s="7">
        <f>HYPERLINK("file:///Y:/(17) 2026 HYTEK PROJECTS/CORAL HOMES/HG260001 LOT 289 (29) COORA CRESENT CURRIMUNDI/03 DETAILING/03 FRAMECAD DETAILER/HG260001 LOT 289 (29) COORA CRESENT CURRIMUNDI.fcp","HG260001 LOT 289 (29) COORA CRESENT CURRIMUNDI.fcp")</f>
        <v/>
      </c>
      <c r="T37" s="7">
        <f>HYPERLINK("file:///Y:/(17) 2026 HYTEK PROJECTS/CORAL HOMES/HG260001 LOT 289 (29) COORA CRESENT CURRIMUNDI/03 DETAILING/03 FRAMECAD DETAILER/01 XML OUTPUT/HG260001 LOT 289 COORA CRESCENT CURRIMUNDI 4551-GF-LBW-70.075.xml","HG260001 LOT 289 COORA CRESCENT CURRIMUNDI 4551-GF")</f>
        <v/>
      </c>
    </row>
    <row r="38" ht="22" customHeight="1">
      <c r="A38" s="2" t="n">
        <v>37</v>
      </c>
      <c r="B38" s="2" t="inlineStr">
        <is>
          <t>F</t>
        </is>
      </c>
      <c r="C38" s="2" t="inlineStr">
        <is>
          <t>Bottom plate (B, Bp)</t>
        </is>
      </c>
      <c r="D38" s="2" t="inlineStr">
        <is>
          <t>70mm</t>
        </is>
      </c>
      <c r="E38" s="2" t="inlineStr">
        <is>
          <t>Always</t>
        </is>
      </c>
      <c r="F38" s="2" t="inlineStr">
        <is>
          <t>End InnerDimple at length-16.5</t>
        </is>
      </c>
      <c r="G38" s="3" t="inlineStr">
        <is>
          <t>Yes</t>
        </is>
      </c>
      <c r="H38" s="2" t="inlineStr"/>
      <c r="I38" s="2" t="inlineStr"/>
      <c r="J38" s="2" t="inlineStr"/>
      <c r="K38" s="2" t="inlineStr"/>
      <c r="L38" s="2" t="inlineStr">
        <is>
          <t>—</t>
        </is>
      </c>
      <c r="M38" s="2" t="inlineStr">
        <is>
          <t>—</t>
        </is>
      </c>
      <c r="N38" s="2" t="inlineStr"/>
      <c r="O38" s="2" t="inlineStr"/>
      <c r="P38" s="2" t="inlineStr"/>
      <c r="Q38" s="2" t="inlineStr"/>
      <c r="R38" s="2" t="inlineStr"/>
      <c r="S38" s="2" t="inlineStr"/>
      <c r="T38" s="2" t="inlineStr"/>
    </row>
    <row r="39" ht="234" customHeight="1">
      <c r="A39" s="2" t="n">
        <v>38</v>
      </c>
      <c r="B39" s="2" t="inlineStr">
        <is>
          <t>F</t>
        </is>
      </c>
      <c r="C39" s="2" t="inlineStr">
        <is>
          <t>Bottom plate (B, Bp)</t>
        </is>
      </c>
      <c r="D39" s="2" t="inlineStr">
        <is>
          <t>89mm</t>
        </is>
      </c>
      <c r="E39" s="2" t="inlineStr">
        <is>
          <t>Same gates as rule 32 + gauge&lt;1.0</t>
        </is>
      </c>
      <c r="F39" s="2" t="inlineStr">
        <is>
          <t>Slab anchor pattern (Web@8 + Bolts@62)</t>
        </is>
      </c>
      <c r="G39" s="8" t="inlineStr">
        <is>
          <t>No</t>
        </is>
      </c>
      <c r="H39" s="2" t="inlineStr"/>
      <c r="I39"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9" s="6" t="inlineStr">
        <is>
          <t>HG250082
GF-NLBW-89.075
frame N3
stick B2</t>
        </is>
      </c>
      <c r="K39" s="2" t="inlineStr">
        <is>
          <t>Do thicker 89mm B plates (gauge &gt;=1.0) really skip slab bolts in real production?</t>
        </is>
      </c>
      <c r="L39" s="2" t="inlineStr">
        <is>
          <t>1,282 sticks / 75 pairs</t>
        </is>
      </c>
      <c r="M39" s="2" t="inlineStr">
        <is>
          <t>small</t>
        </is>
      </c>
      <c r="N39" s="2" t="inlineStr">
        <is>
          <t>WHAT WE EMIT: 89mm bottom plates get the slab-anchor pattern (Web@8 + Bolt@62 each end) ONLY when gauge &lt; 1.0mm.
WHAT DETAILER DOES: HG260044 GF-NLBW-89.075 (gauge 0.75) has Web@8 + Bolt@~50. Single corpus. We have no 89mm B-plate samples at gauge 1.0+.
WHAT I NEED FROM YOU: Do thicker (1.0+, 1.15) 89mm plates really skip slab bolts in real production?</t>
        </is>
      </c>
      <c r="O39" s="9" t="inlineStr">
        <is>
          <t xml:space="preserve">THE RULE SHOULD FIRE WHEN: 
THE VALUES ARE: 
IT SHOULD NOT FIRE WHEN: 
WHY (physical reason): </t>
        </is>
      </c>
      <c r="P39" s="7">
        <f>HYPERLINK("file:///C:/Users/Scott/CLAUDE CODE/hytek-rfy-codec/docs/rule-pdfs/rule-38.pdf","rule-38.pdf")</f>
        <v/>
      </c>
      <c r="Q39" s="7">
        <f>HYPERLINK("file:///Y:/(14) 2025 HYTEK PROJECTS/ROHRIG/HG250082 FLAGSTONE OSHC/06 MANUFACTURING/06 REWORK/250082-001 TOILET WALLS/02 LAYOUTS/HG250082 FLAGSTONE OSHC LGS TOILET PARTITIONS-AMENITIES-GF-NLBW-89.075.pdf","HG250082 FLAGSTONE OSHC LGS TOILET PARTITIONS-AMEN")</f>
        <v/>
      </c>
      <c r="R39" s="2" t="inlineStr"/>
      <c r="S39" s="7">
        <f>HYPERLINK("file:///Y:/(14) 2025 HYTEK PROJECTS/ROHRIG/HG250082 FLAGSTONE OSHC/03 DETAILING/03 FRAMECAD DETAILER/HG250082 FLAGSTONE OSH.fcp","HG250082 FLAGSTONE OSH.fcp")</f>
        <v/>
      </c>
      <c r="T39" s="7">
        <f>HYPERLINK("file:///Y:/(14) 2025 HYTEK PROJECTS/ROHRIG/HG250082 FLAGSTONE OSHC/03 DETAILING/03 FRAMECAD DETAILER/01 XML OUTPUT/HG250082 FLAGSTONE OSHC LGS_Rev2-GF-NLBW-89.075.xml","HG250082 FLAGSTONE OSHC LGS_Rev2-GF-NLBW-89.075.xm")</f>
        <v/>
      </c>
    </row>
    <row r="40" ht="22" customHeight="1">
      <c r="A40" s="2" t="n">
        <v>39</v>
      </c>
      <c r="B40" s="2" t="inlineStr">
        <is>
          <t>G</t>
        </is>
      </c>
      <c r="C40" s="2" t="inlineStr">
        <is>
          <t>Raised B plate (Bh)</t>
        </is>
      </c>
      <c r="D40" s="2" t="inlineStr">
        <is>
          <t>70mm</t>
        </is>
      </c>
      <c r="E40" s="2" t="inlineStr">
        <is>
          <t>Always</t>
        </is>
      </c>
      <c r="F40" s="2" t="inlineStr">
        <is>
          <t>Start InnerNotch span 39mm</t>
        </is>
      </c>
      <c r="G40" s="3" t="inlineStr">
        <is>
          <t>Yes</t>
        </is>
      </c>
      <c r="H40" s="2" t="inlineStr"/>
      <c r="I40" s="2" t="inlineStr"/>
      <c r="J40" s="2" t="inlineStr"/>
      <c r="K40" s="2" t="inlineStr"/>
      <c r="L40" s="2" t="inlineStr">
        <is>
          <t>—</t>
        </is>
      </c>
      <c r="M40" s="2" t="inlineStr">
        <is>
          <t>—</t>
        </is>
      </c>
      <c r="N40" s="2" t="inlineStr"/>
      <c r="O40" s="2" t="inlineStr"/>
      <c r="P40" s="2" t="inlineStr"/>
      <c r="Q40" s="2" t="inlineStr"/>
      <c r="R40" s="2" t="inlineStr"/>
      <c r="S40" s="2" t="inlineStr"/>
      <c r="T40" s="2" t="inlineStr"/>
    </row>
    <row r="41" ht="22" customHeight="1">
      <c r="A41" s="2" t="n">
        <v>40</v>
      </c>
      <c r="B41" s="2" t="inlineStr">
        <is>
          <t>G</t>
        </is>
      </c>
      <c r="C41" s="2" t="inlineStr">
        <is>
          <t>Raised B plate (Bh)</t>
        </is>
      </c>
      <c r="D41" s="2" t="inlineStr">
        <is>
          <t>70mm</t>
        </is>
      </c>
      <c r="E41" s="2" t="inlineStr">
        <is>
          <t>Always</t>
        </is>
      </c>
      <c r="F41" s="2" t="inlineStr">
        <is>
          <t>Start LipNotch span 39mm</t>
        </is>
      </c>
      <c r="G41" s="3" t="inlineStr">
        <is>
          <t>Yes</t>
        </is>
      </c>
      <c r="H41" s="2" t="inlineStr"/>
      <c r="I41" s="2" t="inlineStr"/>
      <c r="J41" s="2" t="inlineStr"/>
      <c r="K41" s="2" t="inlineStr"/>
      <c r="L41" s="2" t="inlineStr">
        <is>
          <t>—</t>
        </is>
      </c>
      <c r="M41" s="2" t="inlineStr">
        <is>
          <t>—</t>
        </is>
      </c>
      <c r="N41" s="2" t="inlineStr"/>
      <c r="O41" s="2" t="inlineStr"/>
      <c r="P41" s="2" t="inlineStr"/>
      <c r="Q41" s="2" t="inlineStr"/>
      <c r="R41" s="2" t="inlineStr"/>
      <c r="S41" s="2" t="inlineStr"/>
      <c r="T41" s="2" t="inlineStr"/>
    </row>
    <row r="42" ht="22" customHeight="1">
      <c r="A42" s="2" t="n">
        <v>41</v>
      </c>
      <c r="B42" s="2" t="inlineStr">
        <is>
          <t>G</t>
        </is>
      </c>
      <c r="C42" s="2" t="inlineStr">
        <is>
          <t>Raised B plate (Bh)</t>
        </is>
      </c>
      <c r="D42" s="2" t="inlineStr">
        <is>
          <t>70mm</t>
        </is>
      </c>
      <c r="E42" s="2" t="inlineStr">
        <is>
          <t>Always</t>
        </is>
      </c>
      <c r="F42" s="2" t="inlineStr">
        <is>
          <t>Start InnerDimple at 16.5</t>
        </is>
      </c>
      <c r="G42" s="3" t="inlineStr">
        <is>
          <t>Yes</t>
        </is>
      </c>
      <c r="H42" s="2" t="inlineStr"/>
      <c r="I42" s="2" t="inlineStr"/>
      <c r="J42" s="2" t="inlineStr"/>
      <c r="K42" s="2" t="inlineStr"/>
      <c r="L42" s="2" t="inlineStr">
        <is>
          <t>—</t>
        </is>
      </c>
      <c r="M42" s="2" t="inlineStr">
        <is>
          <t>—</t>
        </is>
      </c>
      <c r="N42" s="2" t="inlineStr"/>
      <c r="O42" s="2" t="inlineStr"/>
      <c r="P42" s="2" t="inlineStr"/>
      <c r="Q42" s="2" t="inlineStr"/>
      <c r="R42" s="2" t="inlineStr"/>
      <c r="S42" s="2" t="inlineStr"/>
      <c r="T42" s="2" t="inlineStr"/>
    </row>
    <row r="43" ht="140" customHeight="1">
      <c r="A43" s="2" t="n">
        <v>42</v>
      </c>
      <c r="B43" s="2" t="inlineStr">
        <is>
          <t>G</t>
        </is>
      </c>
      <c r="C43" s="2" t="inlineStr">
        <is>
          <t>Raised B plate (Bh)</t>
        </is>
      </c>
      <c r="D43" s="2" t="inlineStr">
        <is>
          <t>70mm</t>
        </is>
      </c>
      <c r="E43" s="2" t="inlineStr">
        <is>
          <t>NLBW only</t>
        </is>
      </c>
      <c r="F43" s="2" t="inlineStr">
        <is>
          <t>Start Web@8 + Bolt@62 (slab anchor on raised B)</t>
        </is>
      </c>
      <c r="G43" s="8" t="inlineStr">
        <is>
          <t>No</t>
        </is>
      </c>
      <c r="H43" s="2" t="inlineStr"/>
      <c r="I43" s="5" t="inlineStr">
        <is>
          <t>MINED FROM 0 STICKS — overall 0% match
"Raised Bh has slab anchor (Web@8 / Bolt@62)"</t>
        </is>
      </c>
      <c r="J43" s="6" t="inlineStr">
        <is>
          <t>HG260001
GF-NLBW-70.075
frame PK1-N14
stick B1</t>
        </is>
      </c>
      <c r="K43" s="2" t="inlineStr">
        <is>
          <t>WHY does NLBW raised B get slab anchors but LBW raised B doesn't?</t>
        </is>
      </c>
      <c r="L43" s="2" t="inlineStr">
        <is>
          <t>0 sticks / 0 pairs</t>
        </is>
      </c>
      <c r="M43" s="2" t="inlineStr">
        <is>
          <t>small</t>
        </is>
      </c>
      <c r="N43" s="2" t="inlineStr">
        <is>
          <t>WHAT WE EMIT: Raised B plates (Bh, the rough opening sill above doors at z=elevation+61.5mm) get slab-anchor ops (Web@8 + Bolt@62) ONLY on NLBW plans. LBW raised B doesn't get them.
WHAT DETAILER DOES: HG260001 PK1 N14/B1 (NLBW raised B at length 1872, z=61.5) has cap notches AND Web@8 + Bolt@62. PK4 L4/B2 (LBW raised B) only has cap notches.
WHAT I NEED FROM YOU: WHY does NLBW raised B get slab anchors but LBW raised B doesn't? Is it the load path? Opening type? Wall load class?</t>
        </is>
      </c>
      <c r="O43" s="9" t="inlineStr">
        <is>
          <t xml:space="preserve">THE RULE SHOULD FIRE WHEN: 
THE VALUES ARE: 
IT SHOULD NOT FIRE WHEN: 
WHY (physical reason): </t>
        </is>
      </c>
      <c r="P43" s="7">
        <f>HYPERLINK("file:///C:/Users/Scott/CLAUDE CODE/hytek-rfy-codec/docs/rule-pdfs/rule-42.pdf","rule-42.pdf")</f>
        <v/>
      </c>
      <c r="Q43" s="7">
        <f>HYPERLINK("file:///Y:/(17) 2026 HYTEK PROJECTS/CORAL HOMES/HG260001 LOT 289 (29) COORA CRESENT CURRIMUNDI/06 MANUFACTURING/02 DRAWINGS MANUFACTURING/01 LGS/HG260001 LOT 289 COORA CRESCENT CURRIMUNDI 4551-GF-NLBW-70.075.pdf","HG260001 LOT 289 COORA CRESCENT CURRIMUNDI 4551-GF")</f>
        <v/>
      </c>
      <c r="R43" s="7">
        <f>HYPERLINK("file:///Y:/(17) 2026 HYTEK PROJECTS/CORAL HOMES/HG260001 LOT 289 (29) COORA CRESENT CURRIMUNDI/01 PROJECT DOCUMENTATION/02 CURRENT DOCS/01 PDF/SLAB DESIGN.pdf","SLAB DESIGN.pdf")</f>
        <v/>
      </c>
      <c r="S43" s="7">
        <f>HYPERLINK("file:///Y:/(17) 2026 HYTEK PROJECTS/CORAL HOMES/HG260001 LOT 289 (29) COORA CRESENT CURRIMUNDI/03 DETAILING/03 FRAMECAD DETAILER/HG260001 LOT 289 (29) COORA CRESENT CURRIMUNDI.fcp","HG260001 LOT 289 (29) COORA CRESENT CURRIMUNDI.fcp")</f>
        <v/>
      </c>
      <c r="T43" s="7">
        <f>HYPERLINK("file:///Y:/(17) 2026 HYTEK PROJECTS/CORAL HOMES/HG260001 LOT 289 (29) COORA CRESENT CURRIMUNDI/03 DETAILING/03 FRAMECAD DETAILER/01 XML OUTPUT/HG260001 LOT 289 COORA CRESCENT CURRIMUNDI 4551-GF-NLBW-70.075.xml","HG260001 LOT 289 COORA CRESCENT CURRIMUNDI 4551-GF")</f>
        <v/>
      </c>
    </row>
    <row r="44" ht="140" customHeight="1">
      <c r="A44" s="2" t="n">
        <v>43</v>
      </c>
      <c r="B44" s="2" t="inlineStr">
        <is>
          <t>G</t>
        </is>
      </c>
      <c r="C44" s="2" t="inlineStr">
        <is>
          <t>Raised B plate (Bh)</t>
        </is>
      </c>
      <c r="D44" s="2" t="inlineStr">
        <is>
          <t>70mm</t>
        </is>
      </c>
      <c r="E44" s="2" t="inlineStr">
        <is>
          <t>NLBW only</t>
        </is>
      </c>
      <c r="F44" s="2" t="inlineStr">
        <is>
          <t>End Bolt at length-62</t>
        </is>
      </c>
      <c r="G44" s="8" t="inlineStr">
        <is>
          <t>No</t>
        </is>
      </c>
      <c r="H44" s="2" t="inlineStr"/>
      <c r="I44" s="5" t="inlineStr">
        <is>
          <t>MINED FROM 0 STICKS — overall 0% match
"Raised Bh has slab anchor (Web@8 / Bolt@62)"</t>
        </is>
      </c>
      <c r="J44" s="6" t="inlineStr">
        <is>
          <t>HG260001
GF-NLBW-70.075
frame PK1-N14
stick B1</t>
        </is>
      </c>
      <c r="K44" s="2" t="inlineStr">
        <is>
          <t>Same as rule 42 (mirror at end).</t>
        </is>
      </c>
      <c r="L44" s="2" t="inlineStr">
        <is>
          <t>0 sticks / 0 pairs</t>
        </is>
      </c>
      <c r="M44" s="2" t="inlineStr">
        <is>
          <t>small</t>
        </is>
      </c>
      <c r="N44" s="2" t="inlineStr">
        <is>
          <t>Mirror of rule 42 at the end.</t>
        </is>
      </c>
      <c r="O44" s="9" t="inlineStr">
        <is>
          <t xml:space="preserve">THE RULE SHOULD FIRE WHEN: 
THE VALUES ARE: 
IT SHOULD NOT FIRE WHEN: 
WHY (physical reason): </t>
        </is>
      </c>
      <c r="P44" s="7">
        <f>HYPERLINK("file:///C:/Users/Scott/CLAUDE CODE/hytek-rfy-codec/docs/rule-pdfs/rule-43.pdf","rule-43.pdf")</f>
        <v/>
      </c>
      <c r="Q44" s="7">
        <f>HYPERLINK("file:///Y:/(17) 2026 HYTEK PROJECTS/CORAL HOMES/HG260001 LOT 289 (29) COORA CRESENT CURRIMUNDI/06 MANUFACTURING/02 DRAWINGS MANUFACTURING/01 LGS/HG260001 LOT 289 COORA CRESCENT CURRIMUNDI 4551-GF-NLBW-70.075.pdf","HG260001 LOT 289 COORA CRESCENT CURRIMUNDI 4551-GF")</f>
        <v/>
      </c>
      <c r="R44" s="7">
        <f>HYPERLINK("file:///Y:/(17) 2026 HYTEK PROJECTS/CORAL HOMES/HG260001 LOT 289 (29) COORA CRESENT CURRIMUNDI/01 PROJECT DOCUMENTATION/02 CURRENT DOCS/01 PDF/SLAB DESIGN.pdf","SLAB DESIGN.pdf")</f>
        <v/>
      </c>
      <c r="S44" s="7">
        <f>HYPERLINK("file:///Y:/(17) 2026 HYTEK PROJECTS/CORAL HOMES/HG260001 LOT 289 (29) COORA CRESENT CURRIMUNDI/03 DETAILING/03 FRAMECAD DETAILER/HG260001 LOT 289 (29) COORA CRESENT CURRIMUNDI.fcp","HG260001 LOT 289 (29) COORA CRESENT CURRIMUNDI.fcp")</f>
        <v/>
      </c>
      <c r="T44" s="7">
        <f>HYPERLINK("file:///Y:/(17) 2026 HYTEK PROJECTS/CORAL HOMES/HG260001 LOT 289 (29) COORA CRESENT CURRIMUNDI/03 DETAILING/03 FRAMECAD DETAILER/01 XML OUTPUT/HG260001 LOT 289 COORA CRESCENT CURRIMUNDI 4551-GF-NLBW-70.075.xml","HG260001 LOT 289 COORA CRESCENT CURRIMUNDI 4551-GF")</f>
        <v/>
      </c>
    </row>
    <row r="45" ht="22" customHeight="1">
      <c r="A45" s="2" t="n">
        <v>44</v>
      </c>
      <c r="B45" s="2" t="inlineStr">
        <is>
          <t>G</t>
        </is>
      </c>
      <c r="C45" s="2" t="inlineStr">
        <is>
          <t>Raised B plate (Bh)</t>
        </is>
      </c>
      <c r="D45" s="2" t="inlineStr">
        <is>
          <t>70mm</t>
        </is>
      </c>
      <c r="E45" s="2" t="inlineStr">
        <is>
          <t>Always</t>
        </is>
      </c>
      <c r="F45" s="2" t="inlineStr">
        <is>
          <t>End InnerDimple at length-16.5</t>
        </is>
      </c>
      <c r="G45" s="3" t="inlineStr">
        <is>
          <t>Yes</t>
        </is>
      </c>
      <c r="H45" s="2" t="inlineStr"/>
      <c r="I45" s="2" t="inlineStr"/>
      <c r="J45" s="2" t="inlineStr"/>
      <c r="K45" s="2" t="inlineStr"/>
      <c r="L45" s="2" t="inlineStr">
        <is>
          <t>—</t>
        </is>
      </c>
      <c r="M45" s="2" t="inlineStr">
        <is>
          <t>—</t>
        </is>
      </c>
      <c r="N45" s="2" t="inlineStr"/>
      <c r="O45" s="2" t="inlineStr"/>
      <c r="P45" s="2" t="inlineStr"/>
      <c r="Q45" s="2" t="inlineStr"/>
      <c r="R45" s="2" t="inlineStr"/>
      <c r="S45" s="2" t="inlineStr"/>
      <c r="T45" s="2" t="inlineStr"/>
    </row>
    <row r="46" ht="22" customHeight="1">
      <c r="A46" s="2" t="n">
        <v>45</v>
      </c>
      <c r="B46" s="2" t="inlineStr">
        <is>
          <t>G</t>
        </is>
      </c>
      <c r="C46" s="2" t="inlineStr">
        <is>
          <t>Raised B plate (Bh)</t>
        </is>
      </c>
      <c r="D46" s="2" t="inlineStr">
        <is>
          <t>70mm</t>
        </is>
      </c>
      <c r="E46" s="2" t="inlineStr">
        <is>
          <t>Always</t>
        </is>
      </c>
      <c r="F46" s="2" t="inlineStr">
        <is>
          <t>End InnerNotch span 39mm</t>
        </is>
      </c>
      <c r="G46" s="3" t="inlineStr">
        <is>
          <t>Yes</t>
        </is>
      </c>
      <c r="H46" s="2" t="inlineStr"/>
      <c r="I46" s="2" t="inlineStr"/>
      <c r="J46" s="2" t="inlineStr"/>
      <c r="K46" s="2" t="inlineStr"/>
      <c r="L46" s="2" t="inlineStr">
        <is>
          <t>—</t>
        </is>
      </c>
      <c r="M46" s="2" t="inlineStr">
        <is>
          <t>—</t>
        </is>
      </c>
      <c r="N46" s="2" t="inlineStr"/>
      <c r="O46" s="2" t="inlineStr"/>
      <c r="P46" s="2" t="inlineStr"/>
      <c r="Q46" s="2" t="inlineStr"/>
      <c r="R46" s="2" t="inlineStr"/>
      <c r="S46" s="2" t="inlineStr"/>
      <c r="T46" s="2" t="inlineStr"/>
    </row>
    <row r="47" ht="22" customHeight="1">
      <c r="A47" s="2" t="n">
        <v>46</v>
      </c>
      <c r="B47" s="2" t="inlineStr">
        <is>
          <t>G</t>
        </is>
      </c>
      <c r="C47" s="2" t="inlineStr">
        <is>
          <t>Raised B plate (Bh)</t>
        </is>
      </c>
      <c r="D47" s="2" t="inlineStr">
        <is>
          <t>70mm</t>
        </is>
      </c>
      <c r="E47" s="2" t="inlineStr">
        <is>
          <t>Always</t>
        </is>
      </c>
      <c r="F47" s="2" t="inlineStr">
        <is>
          <t>End LipNotch span 39mm</t>
        </is>
      </c>
      <c r="G47" s="3" t="inlineStr">
        <is>
          <t>Yes</t>
        </is>
      </c>
      <c r="H47" s="2" t="inlineStr"/>
      <c r="I47" s="2" t="inlineStr"/>
      <c r="J47" s="2" t="inlineStr"/>
      <c r="K47" s="2" t="inlineStr"/>
      <c r="L47" s="2" t="inlineStr">
        <is>
          <t>—</t>
        </is>
      </c>
      <c r="M47" s="2" t="inlineStr">
        <is>
          <t>—</t>
        </is>
      </c>
      <c r="N47" s="2" t="inlineStr"/>
      <c r="O47" s="2" t="inlineStr"/>
      <c r="P47" s="2" t="inlineStr"/>
      <c r="Q47" s="2" t="inlineStr"/>
      <c r="R47" s="2" t="inlineStr"/>
      <c r="S47" s="2" t="inlineStr"/>
      <c r="T47" s="2" t="inlineStr"/>
    </row>
    <row r="48" ht="22" customHeight="1">
      <c r="A48" s="2" t="n">
        <v>47</v>
      </c>
      <c r="B48" s="2" t="inlineStr">
        <is>
          <t>G</t>
        </is>
      </c>
      <c r="C48" s="2" t="inlineStr">
        <is>
          <t>Raised B plate (Bh)</t>
        </is>
      </c>
      <c r="D48" s="2" t="inlineStr">
        <is>
          <t>89mm</t>
        </is>
      </c>
      <c r="E48" s="2" t="inlineStr">
        <is>
          <t>Always</t>
        </is>
      </c>
      <c r="F48" s="2" t="inlineStr">
        <is>
          <t>Header-style caps both ends, NO Web/Bolt</t>
        </is>
      </c>
      <c r="G48" s="3" t="inlineStr">
        <is>
          <t>Yes</t>
        </is>
      </c>
      <c r="H48" s="2" t="inlineStr"/>
      <c r="I48" s="2" t="inlineStr"/>
      <c r="J48" s="2" t="inlineStr"/>
      <c r="K48" s="2" t="inlineStr"/>
      <c r="L48" s="2" t="inlineStr">
        <is>
          <t>—</t>
        </is>
      </c>
      <c r="M48" s="2" t="inlineStr">
        <is>
          <t>—</t>
        </is>
      </c>
      <c r="N48" s="2" t="inlineStr"/>
      <c r="O48" s="2" t="inlineStr"/>
      <c r="P48" s="2" t="inlineStr"/>
      <c r="Q48" s="2" t="inlineStr"/>
      <c r="R48" s="2" t="inlineStr"/>
      <c r="S48" s="2" t="inlineStr"/>
      <c r="T48" s="2" t="inlineStr"/>
    </row>
    <row r="49" ht="22" customHeight="1">
      <c r="A49" s="2" t="n">
        <v>48</v>
      </c>
      <c r="B49" s="2" t="inlineStr">
        <is>
          <t>H</t>
        </is>
      </c>
      <c r="C49" s="2" t="inlineStr">
        <is>
          <t>Nogs (N) — door-head cripple</t>
        </is>
      </c>
      <c r="D49" s="2" t="inlineStr">
        <is>
          <t>70mm</t>
        </is>
      </c>
      <c r="E49" s="2" t="inlineStr">
        <is>
          <t>Length 162-168mm</t>
        </is>
      </c>
      <c r="F49" s="2" t="inlineStr">
        <is>
          <t>InnerNotch + LipNotch caps + Dimple@16.5 BOTH ends</t>
        </is>
      </c>
      <c r="G49" s="3" t="inlineStr">
        <is>
          <t>Yes</t>
        </is>
      </c>
      <c r="H49" s="2" t="inlineStr"/>
      <c r="I49" s="2" t="inlineStr"/>
      <c r="J49" s="2" t="inlineStr"/>
      <c r="K49" s="2" t="inlineStr"/>
      <c r="L49" s="2" t="inlineStr">
        <is>
          <t>—</t>
        </is>
      </c>
      <c r="M49" s="2" t="inlineStr">
        <is>
          <t>—</t>
        </is>
      </c>
      <c r="N49" s="2" t="inlineStr"/>
      <c r="O49" s="2" t="inlineStr"/>
      <c r="P49" s="2" t="inlineStr"/>
      <c r="Q49" s="2" t="inlineStr"/>
      <c r="R49" s="2" t="inlineStr"/>
      <c r="S49" s="2" t="inlineStr"/>
      <c r="T49" s="2" t="inlineStr"/>
    </row>
    <row r="50" ht="22" customHeight="1">
      <c r="A50" s="2" t="n">
        <v>49</v>
      </c>
      <c r="B50" s="2" t="inlineStr">
        <is>
          <t>H</t>
        </is>
      </c>
      <c r="C50" s="2" t="inlineStr">
        <is>
          <t>Nogs (N) — all other lengths</t>
        </is>
      </c>
      <c r="D50" s="2" t="inlineStr">
        <is>
          <t>70mm</t>
        </is>
      </c>
      <c r="E50" s="2" t="inlineStr">
        <is>
          <t>Length NOT in 162-168mm</t>
        </is>
      </c>
      <c r="F50" s="2" t="inlineStr">
        <is>
          <t>Swage caps + Dimple@16.5 BOTH ends</t>
        </is>
      </c>
      <c r="G50" s="3" t="inlineStr">
        <is>
          <t>Yes</t>
        </is>
      </c>
      <c r="H50" s="2" t="inlineStr"/>
      <c r="I50" s="2" t="inlineStr"/>
      <c r="J50" s="2" t="inlineStr"/>
      <c r="K50" s="2" t="inlineStr"/>
      <c r="L50" s="2" t="inlineStr">
        <is>
          <t>—</t>
        </is>
      </c>
      <c r="M50" s="2" t="inlineStr">
        <is>
          <t>—</t>
        </is>
      </c>
      <c r="N50" s="2" t="inlineStr"/>
      <c r="O50" s="2" t="inlineStr"/>
      <c r="P50" s="2" t="inlineStr"/>
      <c r="Q50" s="2" t="inlineStr"/>
      <c r="R50" s="2" t="inlineStr"/>
      <c r="S50" s="2" t="inlineStr"/>
      <c r="T50" s="2" t="inlineStr"/>
    </row>
    <row r="51" ht="238" customHeight="1">
      <c r="A51" s="2" t="n">
        <v>50</v>
      </c>
      <c r="B51" s="2" t="inlineStr">
        <is>
          <t>H</t>
        </is>
      </c>
      <c r="C51" s="2" t="inlineStr">
        <is>
          <t>Nogs (N)</t>
        </is>
      </c>
      <c r="D51" s="2" t="inlineStr">
        <is>
          <t>89mm</t>
        </is>
      </c>
      <c r="E51" s="2" t="inlineStr">
        <is>
          <t>Always (length-bucketed)</t>
        </is>
      </c>
      <c r="F51" s="2" t="inlineStr">
        <is>
          <t>Same pattern as 70mm with 89mm constants</t>
        </is>
      </c>
      <c r="G51" s="4" t="inlineStr">
        <is>
          <t>Spec'd</t>
        </is>
      </c>
      <c r="H51" s="2" t="inlineStr">
        <is>
          <t>machine-setups.ts: setup 6 (89mm) constants identical to setup 2 (70mm) for the relevant fields
Confirmed mirror of 70mm rule. 162-168mm length bucket applies to 89mm too. Already implemented; just verify against 89mm corpus.</t>
        </is>
      </c>
      <c r="I51" s="5" t="inlineStr">
        <is>
          <t>MINED FROM 1,885 STICKS — overall 90.3% match
"89mm nog: short-bucket has Notch caps OR long has Swage caps (right pattern?)"
By plan_type:
  LBW                               1018/1124  =  90.6%
  NLBW                               563/639   =  88.1%
  RP                                  72/72    = 100.0%
  CP                                  50/50    = 100.0%
By stick_profile:
  89S41_0.75                        1352/1511  =  89.5%
  89S41_0.95                         225/239   =  94.1%
  89S41_1.15                         126/135   =  93.3%</t>
        </is>
      </c>
      <c r="J51" s="6" t="inlineStr">
        <is>
          <t>HG260012
TH01-GF-LBW-89.075
frame L1001
stick N1</t>
        </is>
      </c>
      <c r="K51" s="2" t="inlineStr">
        <is>
          <t>(see Source col)</t>
        </is>
      </c>
      <c r="L51" s="2" t="inlineStr">
        <is>
          <t>1,885 sticks / 83 pairs</t>
        </is>
      </c>
      <c r="M51" s="2" t="inlineStr">
        <is>
          <t>small</t>
        </is>
      </c>
      <c r="N51" s="2" t="inlineStr"/>
      <c r="O51" s="2" t="inlineStr"/>
      <c r="P51" s="7">
        <f>HYPERLINK("file:///C:/Users/Scott/CLAUDE CODE/hytek-rfy-codec/docs/rule-pdfs/rule-50.pdf","rule-50.pdf")</f>
        <v/>
      </c>
      <c r="Q51" s="7">
        <f>HYPERLINK("file:///Y:/(17) 2026 HYTEK PROJECTS/AKAM CONSTRUCTIONS/HG260012 23 SPRINGWOOD ST TOWNHOUSES/06 MANUFACTURING/02 DRAWINGS MANUFACTURING/01 LGS/TH01-02/HG260012 [Akam] 23 Springwood Street -TH01-02-TH01-GF-LBW-89.075.pdf","HG260012 [Akam] 23 Springwood Street -TH01-02-TH01")</f>
        <v/>
      </c>
      <c r="R51" s="7">
        <f>HYPERLINK("file:///Y:/(17) 2026 HYTEK PROJECTS/AKAM CONSTRUCTIONS/HG260012 23 SPRINGWOOD ST TOWNHOUSES/01 PROJECT DOCUMENTATION/02 CURRENT DOCS/01 PDF/188. 23 Springwood St - Issue For Construction plan set.pdf","188. 23 Springwood St - Issue For Construction pla")</f>
        <v/>
      </c>
      <c r="S51" s="7">
        <f>HYPERLINK("file:///Y:/(17) 2026 HYTEK PROJECTS/AKAM CONSTRUCTIONS/HG260012 23 SPRINGWOOD ST TOWNHOUSES/03 DETAILING/03 FRAMECAD DETAILER/HG260012 [Akam] 23 Springwood Street -TH01-02.fcp","HG260012 [Akam] 23 Springwood Street -TH01-02.fcp")</f>
        <v/>
      </c>
      <c r="T51" s="7">
        <f>HYPERLINK("file:///Y:/(17) 2026 HYTEK PROJECTS/AKAM CONSTRUCTIONS/HG260012 23 SPRINGWOOD ST TOWNHOUSES/03 DETAILING/03 FRAMECAD DETAILER/01 XML OUTPUT/HG260012 [Akam] 23 Springwood Street -TH01-02-TH01-GF-LBW-89.075.xml","HG260012 [Akam] 23 Springwood Street -TH01-02-TH01")</f>
        <v/>
      </c>
    </row>
    <row r="52" ht="22" customHeight="1">
      <c r="A52" s="2" t="n">
        <v>51</v>
      </c>
      <c r="B52" s="2" t="inlineStr">
        <is>
          <t>I</t>
        </is>
      </c>
      <c r="C52" s="2" t="inlineStr">
        <is>
          <t>Header (H — full)</t>
        </is>
      </c>
      <c r="D52" s="2" t="inlineStr">
        <is>
          <t>70mm</t>
        </is>
      </c>
      <c r="E52" s="2" t="inlineStr">
        <is>
          <t>Always</t>
        </is>
      </c>
      <c r="F52" s="2" t="inlineStr">
        <is>
          <t>Start InnerNotch span 39mm</t>
        </is>
      </c>
      <c r="G52" s="3" t="inlineStr">
        <is>
          <t>Yes</t>
        </is>
      </c>
      <c r="H52" s="2" t="inlineStr"/>
      <c r="I52" s="2" t="inlineStr"/>
      <c r="J52" s="2" t="inlineStr"/>
      <c r="K52" s="2" t="inlineStr"/>
      <c r="L52" s="2" t="inlineStr">
        <is>
          <t>—</t>
        </is>
      </c>
      <c r="M52" s="2" t="inlineStr">
        <is>
          <t>—</t>
        </is>
      </c>
      <c r="N52" s="2" t="inlineStr"/>
      <c r="O52" s="2" t="inlineStr"/>
      <c r="P52" s="2" t="inlineStr"/>
      <c r="Q52" s="2" t="inlineStr"/>
      <c r="R52" s="2" t="inlineStr"/>
      <c r="S52" s="2" t="inlineStr"/>
      <c r="T52" s="2" t="inlineStr"/>
    </row>
    <row r="53" ht="22" customHeight="1">
      <c r="A53" s="2" t="n">
        <v>52</v>
      </c>
      <c r="B53" s="2" t="inlineStr">
        <is>
          <t>I</t>
        </is>
      </c>
      <c r="C53" s="2" t="inlineStr">
        <is>
          <t>Header (H — full)</t>
        </is>
      </c>
      <c r="D53" s="2" t="inlineStr">
        <is>
          <t>70mm</t>
        </is>
      </c>
      <c r="E53" s="2" t="inlineStr">
        <is>
          <t>Always</t>
        </is>
      </c>
      <c r="F53" s="2" t="inlineStr">
        <is>
          <t>Start LipNotch span 39mm</t>
        </is>
      </c>
      <c r="G53" s="3" t="inlineStr">
        <is>
          <t>Yes</t>
        </is>
      </c>
      <c r="H53" s="2" t="inlineStr"/>
      <c r="I53" s="2" t="inlineStr"/>
      <c r="J53" s="2" t="inlineStr"/>
      <c r="K53" s="2" t="inlineStr"/>
      <c r="L53" s="2" t="inlineStr">
        <is>
          <t>—</t>
        </is>
      </c>
      <c r="M53" s="2" t="inlineStr">
        <is>
          <t>—</t>
        </is>
      </c>
      <c r="N53" s="2" t="inlineStr"/>
      <c r="O53" s="2" t="inlineStr"/>
      <c r="P53" s="2" t="inlineStr"/>
      <c r="Q53" s="2" t="inlineStr"/>
      <c r="R53" s="2" t="inlineStr"/>
      <c r="S53" s="2" t="inlineStr"/>
      <c r="T53" s="2" t="inlineStr"/>
    </row>
    <row r="54" ht="22" customHeight="1">
      <c r="A54" s="2" t="n">
        <v>53</v>
      </c>
      <c r="B54" s="2" t="inlineStr">
        <is>
          <t>I</t>
        </is>
      </c>
      <c r="C54" s="2" t="inlineStr">
        <is>
          <t>Header (H — full)</t>
        </is>
      </c>
      <c r="D54" s="2" t="inlineStr">
        <is>
          <t>70mm</t>
        </is>
      </c>
      <c r="E54" s="2" t="inlineStr">
        <is>
          <t>Always</t>
        </is>
      </c>
      <c r="F54" s="2" t="inlineStr">
        <is>
          <t>Start InnerDimple at 16.5</t>
        </is>
      </c>
      <c r="G54" s="3" t="inlineStr">
        <is>
          <t>Yes</t>
        </is>
      </c>
      <c r="H54" s="2" t="inlineStr"/>
      <c r="I54" s="2" t="inlineStr"/>
      <c r="J54" s="2" t="inlineStr"/>
      <c r="K54" s="2" t="inlineStr"/>
      <c r="L54" s="2" t="inlineStr">
        <is>
          <t>—</t>
        </is>
      </c>
      <c r="M54" s="2" t="inlineStr">
        <is>
          <t>—</t>
        </is>
      </c>
      <c r="N54" s="2" t="inlineStr"/>
      <c r="O54" s="2" t="inlineStr"/>
      <c r="P54" s="2" t="inlineStr"/>
      <c r="Q54" s="2" t="inlineStr"/>
      <c r="R54" s="2" t="inlineStr"/>
      <c r="S54" s="2" t="inlineStr"/>
      <c r="T54" s="2" t="inlineStr"/>
    </row>
    <row r="55" ht="169" customHeight="1">
      <c r="A55" s="2" t="n">
        <v>54</v>
      </c>
      <c r="B55" s="2" t="inlineStr">
        <is>
          <t>I</t>
        </is>
      </c>
      <c r="C55" s="2" t="inlineStr">
        <is>
          <t>Header (H — full)</t>
        </is>
      </c>
      <c r="D55" s="2" t="inlineStr">
        <is>
          <t>70mm</t>
        </is>
      </c>
      <c r="E55" s="2" t="inlineStr">
        <is>
          <t>LBW only</t>
        </is>
      </c>
      <c r="F55" s="2" t="inlineStr">
        <is>
          <t>Start InnerDimple at 58.5 (paired)</t>
        </is>
      </c>
      <c r="G55" s="8" t="inlineStr">
        <is>
          <t>No</t>
        </is>
      </c>
      <c r="H55" s="2" t="inlineStr"/>
      <c r="I55" s="5" t="inlineStr">
        <is>
          <t>MINED FROM 1,465 STICKS — overall 49.7% match
"Header @58.5 paired dimple — does Detailer emit it?"
By plan_type:
  LBW                                720/1007  =  71.5%
  NLBW                                 8/458   =   1.7%
By (plan_type, gauge):
  LBW/0.75                           446/599   =  74.5%
  NLBW/0.75                            8/448   =   1.8%
  LBW/0.95                           240/351   =  68.4%
  LBW/1.15                            34/57    =  59.6%
  NLBW/0.95                            0/10    =   0.0%</t>
        </is>
      </c>
      <c r="J55" s="6" t="inlineStr">
        <is>
          <t>HG260001
GF-LBW-70.075
frame PK4-L4
stick H1</t>
        </is>
      </c>
      <c r="K55" s="2" t="inlineStr">
        <is>
          <t>Same LBW-only question as rule 19. Why LBW-specific?</t>
        </is>
      </c>
      <c r="L55" s="2" t="inlineStr">
        <is>
          <t>933 sticks / 80 pairs</t>
        </is>
      </c>
      <c r="M55" s="2" t="inlineStr">
        <is>
          <t>small</t>
        </is>
      </c>
      <c r="N55" s="2" t="inlineStr">
        <is>
          <t>Same as rule 19 — full headers (70mm) get the paired 58.5 dimple LBW-only. Why LBW-specific? Same physical reason as the short T sub-plate?</t>
        </is>
      </c>
      <c r="O55" s="9" t="inlineStr">
        <is>
          <t xml:space="preserve">THE RULE SHOULD FIRE WHEN: 
THE VALUES ARE: 
IT SHOULD NOT FIRE WHEN: 
WHY (physical reason): </t>
        </is>
      </c>
      <c r="P55" s="7">
        <f>HYPERLINK("file:///C:/Users/Scott/CLAUDE CODE/hytek-rfy-codec/docs/rule-pdfs/rule-54.pdf","rule-54.pdf")</f>
        <v/>
      </c>
      <c r="Q55" s="7">
        <f>HYPERLINK("file:///Y:/(17) 2026 HYTEK PROJECTS/CORAL HOMES/HG260001 LOT 289 (29) COORA CRESENT CURRIMUNDI/06 MANUFACTURING/02 DRAWINGS MANUFACTURING/01 LGS/HG260001 LOT 289 COORA CRESCENT CURRIMUNDI 4551-GF-LBW-70.075.pdf","HG260001 LOT 289 COORA CRESCENT CURRIMUNDI 4551-GF")</f>
        <v/>
      </c>
      <c r="R55" s="7">
        <f>HYPERLINK("file:///Y:/(17) 2026 HYTEK PROJECTS/CORAL HOMES/HG260001 LOT 289 (29) COORA CRESENT CURRIMUNDI/01 PROJECT DOCUMENTATION/02 CURRENT DOCS/01 PDF/43983 - TURNBULL - VO2 COLOUR- LBW MARKUP.pdf","43983 - TURNBULL - VO2 COLOUR- LBW MARKUP.pdf")</f>
        <v/>
      </c>
      <c r="S55" s="7">
        <f>HYPERLINK("file:///Y:/(17) 2026 HYTEK PROJECTS/CORAL HOMES/HG260001 LOT 289 (29) COORA CRESENT CURRIMUNDI/03 DETAILING/03 FRAMECAD DETAILER/HG260001 LOT 289 (29) COORA CRESENT CURRIMUNDI.fcp","HG260001 LOT 289 (29) COORA CRESENT CURRIMUNDI.fcp")</f>
        <v/>
      </c>
      <c r="T55" s="7">
        <f>HYPERLINK("file:///Y:/(17) 2026 HYTEK PROJECTS/CORAL HOMES/HG260001 LOT 289 (29) COORA CRESENT CURRIMUNDI/03 DETAILING/03 FRAMECAD DETAILER/01 XML OUTPUT/HG260001 LOT 289 COORA CRESCENT CURRIMUNDI 4551-GF-LBW-70.075.xml","HG260001 LOT 289 COORA CRESCENT CURRIMUNDI 4551-GF")</f>
        <v/>
      </c>
    </row>
    <row r="56" ht="169" customHeight="1">
      <c r="A56" s="2" t="n">
        <v>55</v>
      </c>
      <c r="B56" s="2" t="inlineStr">
        <is>
          <t>I</t>
        </is>
      </c>
      <c r="C56" s="2" t="inlineStr">
        <is>
          <t>Header (H — full)</t>
        </is>
      </c>
      <c r="D56" s="2" t="inlineStr">
        <is>
          <t>70mm</t>
        </is>
      </c>
      <c r="E56" s="2" t="inlineStr">
        <is>
          <t>LBW only</t>
        </is>
      </c>
      <c r="F56" s="2" t="inlineStr">
        <is>
          <t>End InnerDimple at length-58.5</t>
        </is>
      </c>
      <c r="G56" s="8" t="inlineStr">
        <is>
          <t>No</t>
        </is>
      </c>
      <c r="H56" s="2" t="inlineStr"/>
      <c r="I56" s="5" t="inlineStr">
        <is>
          <t>MINED FROM 1,465 STICKS — overall 49.7% match
"Header @58.5 paired dimple — does Detailer emit it?"
By plan_type:
  LBW                                720/1007  =  71.5%
  NLBW                                 8/458   =   1.7%
By (plan_type, gauge):
  LBW/0.75                           446/599   =  74.5%
  NLBW/0.75                            8/448   =   1.8%
  LBW/0.95                           240/351   =  68.4%
  LBW/1.15                            34/57    =  59.6%
  NLBW/0.95                            0/10    =   0.0%</t>
        </is>
      </c>
      <c r="J56" s="6" t="inlineStr">
        <is>
          <t>HG260001
GF-LBW-70.075
frame PK4-L4
stick H1</t>
        </is>
      </c>
      <c r="K56" s="2" t="inlineStr">
        <is>
          <t>Same as rule 54 (mirror at end).</t>
        </is>
      </c>
      <c r="L56" s="2" t="inlineStr">
        <is>
          <t>933 sticks / 80 pairs</t>
        </is>
      </c>
      <c r="M56" s="2" t="inlineStr">
        <is>
          <t>small</t>
        </is>
      </c>
      <c r="N56" s="2" t="inlineStr">
        <is>
          <t>Mirror of rule 54 at the end.</t>
        </is>
      </c>
      <c r="O56" s="9" t="inlineStr">
        <is>
          <t xml:space="preserve">THE RULE SHOULD FIRE WHEN: 
THE VALUES ARE: 
IT SHOULD NOT FIRE WHEN: 
WHY (physical reason): </t>
        </is>
      </c>
      <c r="P56" s="7">
        <f>HYPERLINK("file:///C:/Users/Scott/CLAUDE CODE/hytek-rfy-codec/docs/rule-pdfs/rule-55.pdf","rule-55.pdf")</f>
        <v/>
      </c>
      <c r="Q56" s="7">
        <f>HYPERLINK("file:///Y:/(17) 2026 HYTEK PROJECTS/CORAL HOMES/HG260001 LOT 289 (29) COORA CRESENT CURRIMUNDI/06 MANUFACTURING/02 DRAWINGS MANUFACTURING/01 LGS/HG260001 LOT 289 COORA CRESCENT CURRIMUNDI 4551-GF-LBW-70.075.pdf","HG260001 LOT 289 COORA CRESCENT CURRIMUNDI 4551-GF")</f>
        <v/>
      </c>
      <c r="R56" s="7">
        <f>HYPERLINK("file:///Y:/(17) 2026 HYTEK PROJECTS/CORAL HOMES/HG260001 LOT 289 (29) COORA CRESENT CURRIMUNDI/01 PROJECT DOCUMENTATION/02 CURRENT DOCS/01 PDF/43983 - TURNBULL - VO2 COLOUR- LBW MARKUP.pdf","43983 - TURNBULL - VO2 COLOUR- LBW MARKUP.pdf")</f>
        <v/>
      </c>
      <c r="S56" s="7">
        <f>HYPERLINK("file:///Y:/(17) 2026 HYTEK PROJECTS/CORAL HOMES/HG260001 LOT 289 (29) COORA CRESENT CURRIMUNDI/03 DETAILING/03 FRAMECAD DETAILER/HG260001 LOT 289 (29) COORA CRESENT CURRIMUNDI.fcp","HG260001 LOT 289 (29) COORA CRESENT CURRIMUNDI.fcp")</f>
        <v/>
      </c>
      <c r="T56" s="7">
        <f>HYPERLINK("file:///Y:/(17) 2026 HYTEK PROJECTS/CORAL HOMES/HG260001 LOT 289 (29) COORA CRESENT CURRIMUNDI/03 DETAILING/03 FRAMECAD DETAILER/01 XML OUTPUT/HG260001 LOT 289 COORA CRESCENT CURRIMUNDI 4551-GF-LBW-70.075.xml","HG260001 LOT 289 COORA CRESCENT CURRIMUNDI 4551-GF")</f>
        <v/>
      </c>
    </row>
    <row r="57" ht="22" customHeight="1">
      <c r="A57" s="2" t="n">
        <v>56</v>
      </c>
      <c r="B57" s="2" t="inlineStr">
        <is>
          <t>I</t>
        </is>
      </c>
      <c r="C57" s="2" t="inlineStr">
        <is>
          <t>Header (H — full)</t>
        </is>
      </c>
      <c r="D57" s="2" t="inlineStr">
        <is>
          <t>70mm</t>
        </is>
      </c>
      <c r="E57" s="2" t="inlineStr">
        <is>
          <t>Always</t>
        </is>
      </c>
      <c r="F57" s="2" t="inlineStr">
        <is>
          <t>End InnerDimple at length-16.5</t>
        </is>
      </c>
      <c r="G57" s="3" t="inlineStr">
        <is>
          <t>Yes</t>
        </is>
      </c>
      <c r="H57" s="2" t="inlineStr"/>
      <c r="I57" s="2" t="inlineStr"/>
      <c r="J57" s="2" t="inlineStr"/>
      <c r="K57" s="2" t="inlineStr"/>
      <c r="L57" s="2" t="inlineStr">
        <is>
          <t>—</t>
        </is>
      </c>
      <c r="M57" s="2" t="inlineStr">
        <is>
          <t>—</t>
        </is>
      </c>
      <c r="N57" s="2" t="inlineStr"/>
      <c r="O57" s="2" t="inlineStr"/>
      <c r="P57" s="2" t="inlineStr"/>
      <c r="Q57" s="2" t="inlineStr"/>
      <c r="R57" s="2" t="inlineStr"/>
      <c r="S57" s="2" t="inlineStr"/>
      <c r="T57" s="2" t="inlineStr"/>
    </row>
    <row r="58" ht="22" customHeight="1">
      <c r="A58" s="2" t="n">
        <v>57</v>
      </c>
      <c r="B58" s="2" t="inlineStr">
        <is>
          <t>I</t>
        </is>
      </c>
      <c r="C58" s="2" t="inlineStr">
        <is>
          <t>Header (H — full)</t>
        </is>
      </c>
      <c r="D58" s="2" t="inlineStr">
        <is>
          <t>70mm</t>
        </is>
      </c>
      <c r="E58" s="2" t="inlineStr">
        <is>
          <t>Always</t>
        </is>
      </c>
      <c r="F58" s="2" t="inlineStr">
        <is>
          <t>End InnerNotch span 39mm</t>
        </is>
      </c>
      <c r="G58" s="3" t="inlineStr">
        <is>
          <t>Yes</t>
        </is>
      </c>
      <c r="H58" s="2" t="inlineStr"/>
      <c r="I58" s="2" t="inlineStr"/>
      <c r="J58" s="2" t="inlineStr"/>
      <c r="K58" s="2" t="inlineStr"/>
      <c r="L58" s="2" t="inlineStr">
        <is>
          <t>—</t>
        </is>
      </c>
      <c r="M58" s="2" t="inlineStr">
        <is>
          <t>—</t>
        </is>
      </c>
      <c r="N58" s="2" t="inlineStr"/>
      <c r="O58" s="2" t="inlineStr"/>
      <c r="P58" s="2" t="inlineStr"/>
      <c r="Q58" s="2" t="inlineStr"/>
      <c r="R58" s="2" t="inlineStr"/>
      <c r="S58" s="2" t="inlineStr"/>
      <c r="T58" s="2" t="inlineStr"/>
    </row>
    <row r="59" ht="22" customHeight="1">
      <c r="A59" s="2" t="n">
        <v>58</v>
      </c>
      <c r="B59" s="2" t="inlineStr">
        <is>
          <t>I</t>
        </is>
      </c>
      <c r="C59" s="2" t="inlineStr">
        <is>
          <t>Header (H — full)</t>
        </is>
      </c>
      <c r="D59" s="2" t="inlineStr">
        <is>
          <t>70mm</t>
        </is>
      </c>
      <c r="E59" s="2" t="inlineStr">
        <is>
          <t>Always</t>
        </is>
      </c>
      <c r="F59" s="2" t="inlineStr">
        <is>
          <t>End LipNotch span 39mm</t>
        </is>
      </c>
      <c r="G59" s="3" t="inlineStr">
        <is>
          <t>Yes</t>
        </is>
      </c>
      <c r="H59" s="2" t="inlineStr"/>
      <c r="I59" s="2" t="inlineStr"/>
      <c r="J59" s="2" t="inlineStr"/>
      <c r="K59" s="2" t="inlineStr"/>
      <c r="L59" s="2" t="inlineStr">
        <is>
          <t>—</t>
        </is>
      </c>
      <c r="M59" s="2" t="inlineStr">
        <is>
          <t>—</t>
        </is>
      </c>
      <c r="N59" s="2" t="inlineStr"/>
      <c r="O59" s="2" t="inlineStr"/>
      <c r="P59" s="2" t="inlineStr"/>
      <c r="Q59" s="2" t="inlineStr"/>
      <c r="R59" s="2" t="inlineStr"/>
      <c r="S59" s="2" t="inlineStr"/>
      <c r="T59" s="2" t="inlineStr"/>
    </row>
    <row r="60" ht="169" customHeight="1">
      <c r="A60" s="2" t="n">
        <v>59</v>
      </c>
      <c r="B60" s="2" t="inlineStr">
        <is>
          <t>I</t>
        </is>
      </c>
      <c r="C60" s="2" t="inlineStr">
        <is>
          <t>Header (H — full)</t>
        </is>
      </c>
      <c r="D60" s="2" t="inlineStr">
        <is>
          <t>70mm</t>
        </is>
      </c>
      <c r="E60" s="2" t="inlineStr">
        <is>
          <t>H1 or H3 in paired-header frame</t>
        </is>
      </c>
      <c r="F60" s="2" t="inlineStr">
        <is>
          <t>Web stiffener holes evenly distributed</t>
        </is>
      </c>
      <c r="G60" s="8" t="inlineStr">
        <is>
          <t>No</t>
        </is>
      </c>
      <c r="H60" s="2" t="inlineStr"/>
      <c r="I60" s="2" t="inlineStr"/>
      <c r="J60" s="6" t="inlineStr">
        <is>
          <t>HG260001
GF-LBW-70.075
frame PK4-L4
stick H1</t>
        </is>
      </c>
      <c r="K60" s="2" t="inlineStr">
        <is>
          <t>What physically makes a header 'paired' (box vs single-section)? When does the rule fire?</t>
        </is>
      </c>
      <c r="L60" s="2" t="inlineStr">
        <is>
          <t>1,101 sticks / 145 pairs</t>
        </is>
      </c>
      <c r="M60" s="2" t="inlineStr">
        <is>
          <t>moderate</t>
        </is>
      </c>
      <c r="N60" s="2" t="inlineStr">
        <is>
          <t>WHAT WE EMIT: Sticks named H1 or H3 in frames that have a 'paired header' (frame contains H2 or H3 alongside H1) get web stiffener holes evenly distributed. Spacing: 89mm offset from each end, max 300mm between holes.
WHAT DETAILER DOES: HG260001 LBW H1/H3 corpus (10 frames) match. Single-H frames (just H1, no H2) don't show stiffener holes.
MY HYPOTHESIS: A 'paired header' is a built-up box header (two C-sections back-to-back) for wider openings or higher loads.
WHAT I NEED FROM YOU: What physically creates a paired header — span width? Load class? Specific frame type? Architectural detail? Are stiffeners only on H1/H3, or do H2 also get them?</t>
        </is>
      </c>
      <c r="O60" s="9" t="inlineStr">
        <is>
          <t xml:space="preserve">THE RULE SHOULD FIRE WHEN: 
THE VALUES ARE: 
IT SHOULD NOT FIRE WHEN: 
WHY (physical reason): </t>
        </is>
      </c>
      <c r="P60" s="7">
        <f>HYPERLINK("file:///C:/Users/Scott/CLAUDE CODE/hytek-rfy-codec/docs/rule-pdfs/rule-59.pdf","rule-59.pdf")</f>
        <v/>
      </c>
      <c r="Q60" s="7">
        <f>HYPERLINK("file:///Y:/(17) 2026 HYTEK PROJECTS/CORAL HOMES/HG260001 LOT 289 (29) COORA CRESENT CURRIMUNDI/06 MANUFACTURING/02 DRAWINGS MANUFACTURING/01 LGS/HG260001 LOT 289 COORA CRESCENT CURRIMUNDI 4551-GF-LBW-70.075.pdf","HG260001 LOT 289 COORA CRESCENT CURRIMUNDI 4551-GF")</f>
        <v/>
      </c>
      <c r="R60" s="7">
        <f>HYPERLINK("file:///Y:/(17) 2026 HYTEK PROJECTS/CORAL HOMES/HG260001 LOT 289 (29) COORA CRESENT CURRIMUNDI/01 PROJECT DOCUMENTATION/02 CURRENT DOCS/01 PDF/CONSTRUCTION DETAILS.pdf","CONSTRUCTION DETAILS.pdf")</f>
        <v/>
      </c>
      <c r="S60" s="7">
        <f>HYPERLINK("file:///Y:/(17) 2026 HYTEK PROJECTS/CORAL HOMES/HG260001 LOT 289 (29) COORA CRESENT CURRIMUNDI/03 DETAILING/03 FRAMECAD DETAILER/HG260001 LOT 289 (29) COORA CRESENT CURRIMUNDI.fcp","HG260001 LOT 289 (29) COORA CRESENT CURRIMUNDI.fcp")</f>
        <v/>
      </c>
      <c r="T60" s="7">
        <f>HYPERLINK("file:///Y:/(17) 2026 HYTEK PROJECTS/CORAL HOMES/HG260001 LOT 289 (29) COORA CRESENT CURRIMUNDI/03 DETAILING/03 FRAMECAD DETAILER/01 XML OUTPUT/HG260001 LOT 289 COORA CRESCENT CURRIMUNDI 4551-GF-LBW-70.075.xml","HG260001 LOT 289 COORA CRESCENT CURRIMUNDI 4551-GF")</f>
        <v/>
      </c>
    </row>
    <row r="61" ht="195" customHeight="1">
      <c r="A61" s="2" t="n">
        <v>60</v>
      </c>
      <c r="B61" s="2" t="inlineStr">
        <is>
          <t>I</t>
        </is>
      </c>
      <c r="C61" s="2" t="inlineStr">
        <is>
          <t>Header (H — full)</t>
        </is>
      </c>
      <c r="D61" s="2" t="inlineStr">
        <is>
          <t>89mm</t>
        </is>
      </c>
      <c r="E61" s="2" t="inlineStr">
        <is>
          <t>Always</t>
        </is>
      </c>
      <c r="F61" s="2" t="inlineStr">
        <is>
          <t>Caps + paired dimples at 16.5 AND 58.5 always both ends</t>
        </is>
      </c>
      <c r="G61" s="8" t="inlineStr">
        <is>
          <t>No</t>
        </is>
      </c>
      <c r="H61" s="2" t="inlineStr"/>
      <c r="I61" s="5" t="inlineStr">
        <is>
          <t>MINED FROM 1,465 STICKS — overall 49.7% match
"Header @58.5 paired dimple — does Detailer emit it?"
By plan_type:
  LBW                                720/1007  =  71.5%
  NLBW                                 8/458   =   1.7%
By (plan_type, gauge):
  LBW/0.75                           446/599   =  74.5%
  NLBW/0.75                            8/448   =   1.8%
  LBW/0.95                           240/351   =  68.4%
  LBW/1.15                            34/57    =  59.6%
  NLBW/0.95                            0/10    =   0.0%</t>
        </is>
      </c>
      <c r="J61" s="6" t="inlineStr">
        <is>
          <t>HG260012
TH01-GF-LBW-89.075
frame L1001
stick H1</t>
        </is>
      </c>
      <c r="K61" s="2" t="inlineStr">
        <is>
          <t>Do 89mm NLBW headers also get the paired 58.5 dimple?</t>
        </is>
      </c>
      <c r="L61" s="2" t="inlineStr">
        <is>
          <t>532 sticks / 65 pairs</t>
        </is>
      </c>
      <c r="M61" s="2" t="inlineStr">
        <is>
          <t>small</t>
        </is>
      </c>
      <c r="N61" s="2" t="inlineStr">
        <is>
          <t>WHAT WE EMIT: 89mm headers ALWAYS get the paired 58.5 dimple at both ends, regardless of LBW/NLBW. (70mm only on LBW.)
WHAT WORRIES ME: My 89mm header sample is small and may all be LBW. The rule might really be 'LBW only' for 89mm too.
WHAT I NEED FROM YOU: Do 89mm NLBW headers get the paired 58.5 dimple?</t>
        </is>
      </c>
      <c r="O61" s="9" t="inlineStr">
        <is>
          <t xml:space="preserve">THE RULE SHOULD FIRE WHEN: 
THE VALUES ARE: 
IT SHOULD NOT FIRE WHEN: 
WHY (physical reason): </t>
        </is>
      </c>
      <c r="P61" s="7">
        <f>HYPERLINK("file:///C:/Users/Scott/CLAUDE CODE/hytek-rfy-codec/docs/rule-pdfs/rule-60.pdf","rule-60.pdf")</f>
        <v/>
      </c>
      <c r="Q61" s="7">
        <f>HYPERLINK("file:///Y:/(17) 2026 HYTEK PROJECTS/AKAM CONSTRUCTIONS/HG260012 23 SPRINGWOOD ST TOWNHOUSES/06 MANUFACTURING/02 DRAWINGS MANUFACTURING/01 LGS/TH01-02/HG260012 [Akam] 23 Springwood Street -TH01-02-TH01-GF-LBW-89.075.pdf","HG260012 [Akam] 23 Springwood Street -TH01-02-TH01")</f>
        <v/>
      </c>
      <c r="R61" s="7">
        <f>HYPERLINK("file:///Y:/(17) 2026 HYTEK PROJECTS/AKAM CONSTRUCTIONS/HG260012 23 SPRINGWOOD ST TOWNHOUSES/01 PROJECT DOCUMENTATION/02 CURRENT DOCS/01 PDF/188. 23 Springwood St - Issue For Construction plan set.pdf","188. 23 Springwood St - Issue For Construction pla")</f>
        <v/>
      </c>
      <c r="S61" s="7">
        <f>HYPERLINK("file:///Y:/(17) 2026 HYTEK PROJECTS/AKAM CONSTRUCTIONS/HG260012 23 SPRINGWOOD ST TOWNHOUSES/03 DETAILING/03 FRAMECAD DETAILER/HG260012 [Akam] 23 Springwood Street -TH01-02.fcp","HG260012 [Akam] 23 Springwood Street -TH01-02.fcp")</f>
        <v/>
      </c>
      <c r="T61" s="7">
        <f>HYPERLINK("file:///Y:/(17) 2026 HYTEK PROJECTS/AKAM CONSTRUCTIONS/HG260012 23 SPRINGWOOD ST TOWNHOUSES/03 DETAILING/03 FRAMECAD DETAILER/01 XML OUTPUT/HG260012 [Akam] 23 Springwood Street -TH01-02-TH01-GF-LBW-89.075.xml","HG260012 [Akam] 23 Springwood Street -TH01-02-TH01")</f>
        <v/>
      </c>
    </row>
    <row r="62" ht="260" customHeight="1">
      <c r="A62" s="2" t="n">
        <v>61</v>
      </c>
      <c r="B62" s="2" t="inlineStr">
        <is>
          <t>J</t>
        </is>
      </c>
      <c r="C62" s="2" t="inlineStr">
        <is>
          <t>Wall brace (W on wall plan)</t>
        </is>
      </c>
      <c r="D62" s="2" t="inlineStr">
        <is>
          <t>70/89mm</t>
        </is>
      </c>
      <c r="E62" s="2" t="inlineStr">
        <is>
          <t>Wall plan AND angle from vertical &gt;= 28 deg</t>
        </is>
      </c>
      <c r="F62" s="2" t="inlineStr">
        <is>
          <t>Chamfer at start (diagonal cut)</t>
        </is>
      </c>
      <c r="G62" s="4" t="inlineStr">
        <is>
          <t>Spec'd</t>
        </is>
      </c>
      <c r="H62" s="2" t="inlineStr">
        <is>
          <t>machine-setups.ts: chamferTolerance + automaticChamfer
Same auto-chamfer geometric check as rule 9. Replace 'angle &gt;= 28 deg' threshold with collision detection. Wall braces with truly steep angles will fire chamfer; near-vertical wall studs won't.</t>
        </is>
      </c>
      <c r="I62"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62" s="6" t="inlineStr">
        <is>
          <t>HG260001
GF-LBW-70.075
frame PK4-L27
stick W2</t>
        </is>
      </c>
      <c r="K62" s="2" t="inlineStr">
        <is>
          <t>(see Source col)</t>
        </is>
      </c>
      <c r="L62" s="2" t="inlineStr">
        <is>
          <t>3,834 sticks / 91 pairs</t>
        </is>
      </c>
      <c r="M62" s="2" t="inlineStr">
        <is>
          <t>small</t>
        </is>
      </c>
      <c r="N62" s="2" t="inlineStr"/>
      <c r="O62" s="2" t="inlineStr"/>
      <c r="P62" s="7">
        <f>HYPERLINK("file:///C:/Users/Scott/CLAUDE CODE/hytek-rfy-codec/docs/rule-pdfs/rule-61.pdf","rule-61.pdf")</f>
        <v/>
      </c>
      <c r="Q62" s="7">
        <f>HYPERLINK("file:///Y:/(17) 2026 HYTEK PROJECTS/CORAL HOMES/HG260001 LOT 289 (29) COORA CRESENT CURRIMUNDI/06 MANUFACTURING/02 DRAWINGS MANUFACTURING/01 LGS/HG260001 LOT 289 COORA CRESCENT CURRIMUNDI 4551-GF-LBW-70.075.pdf","HG260001 LOT 289 COORA CRESCENT CURRIMUNDI 4551-GF")</f>
        <v/>
      </c>
      <c r="R62" s="7">
        <f>HYPERLINK("file:///Y:/(17) 2026 HYTEK PROJECTS/CORAL HOMES/HG260001 LOT 289 (29) COORA CRESENT CURRIMUNDI/01 PROJECT DOCUMENTATION/02 CURRENT DOCS/01 PDF/CONSTRUCTION DETAILS.pdf","CONSTRUCTION DETAILS.pdf")</f>
        <v/>
      </c>
      <c r="S62" s="7">
        <f>HYPERLINK("file:///Y:/(17) 2026 HYTEK PROJECTS/CORAL HOMES/HG260001 LOT 289 (29) COORA CRESENT CURRIMUNDI/03 DETAILING/03 FRAMECAD DETAILER/HG260001 LOT 289 (29) COORA CRESENT CURRIMUNDI.fcp","HG260001 LOT 289 (29) COORA CRESENT CURRIMUNDI.fcp")</f>
        <v/>
      </c>
      <c r="T62" s="7">
        <f>HYPERLINK("file:///Y:/(17) 2026 HYTEK PROJECTS/CORAL HOMES/HG260001 LOT 289 (29) COORA CRESENT CURRIMUNDI/03 DETAILING/03 FRAMECAD DETAILER/01 XML OUTPUT/HG260001 LOT 289 COORA CRESCENT CURRIMUNDI 4551-GF-LBW-70.075.xml","HG260001 LOT 289 COORA CRESCENT CURRIMUNDI 4551-GF")</f>
        <v/>
      </c>
    </row>
    <row r="63" ht="22" customHeight="1">
      <c r="A63" s="2" t="n">
        <v>62</v>
      </c>
      <c r="B63" s="2" t="inlineStr">
        <is>
          <t>J</t>
        </is>
      </c>
      <c r="C63" s="2" t="inlineStr">
        <is>
          <t>Wall brace (W on wall plan)</t>
        </is>
      </c>
      <c r="D63" s="2" t="inlineStr">
        <is>
          <t>70/89mm</t>
        </is>
      </c>
      <c r="E63" s="2" t="inlineStr">
        <is>
          <t>Wall plan</t>
        </is>
      </c>
      <c r="F63" s="2" t="inlineStr">
        <is>
          <t>Start Swage span 41mm</t>
        </is>
      </c>
      <c r="G63" s="3" t="inlineStr">
        <is>
          <t>Yes</t>
        </is>
      </c>
      <c r="H63" s="2" t="inlineStr"/>
      <c r="I63" s="2" t="inlineStr"/>
      <c r="J63" s="2" t="inlineStr"/>
      <c r="K63" s="2" t="inlineStr"/>
      <c r="L63" s="2" t="inlineStr">
        <is>
          <t>—</t>
        </is>
      </c>
      <c r="M63" s="2" t="inlineStr">
        <is>
          <t>—</t>
        </is>
      </c>
      <c r="N63" s="2" t="inlineStr"/>
      <c r="O63" s="2" t="inlineStr"/>
      <c r="P63" s="2" t="inlineStr"/>
      <c r="Q63" s="2" t="inlineStr"/>
      <c r="R63" s="2" t="inlineStr"/>
      <c r="S63" s="2" t="inlineStr"/>
      <c r="T63" s="2" t="inlineStr"/>
    </row>
    <row r="64" ht="22" customHeight="1">
      <c r="A64" s="2" t="n">
        <v>63</v>
      </c>
      <c r="B64" s="2" t="inlineStr">
        <is>
          <t>J</t>
        </is>
      </c>
      <c r="C64" s="2" t="inlineStr">
        <is>
          <t>Wall brace (W on wall plan)</t>
        </is>
      </c>
      <c r="D64" s="2" t="inlineStr">
        <is>
          <t>70/89mm</t>
        </is>
      </c>
      <c r="E64" s="2" t="inlineStr">
        <is>
          <t>Wall plan</t>
        </is>
      </c>
      <c r="F64" s="2" t="inlineStr">
        <is>
          <t>Start InnerDimple at 10mm</t>
        </is>
      </c>
      <c r="G64" s="3" t="inlineStr">
        <is>
          <t>Yes</t>
        </is>
      </c>
      <c r="H64" s="2" t="inlineStr"/>
      <c r="I64" s="2" t="inlineStr"/>
      <c r="J64" s="2" t="inlineStr"/>
      <c r="K64" s="2" t="inlineStr"/>
      <c r="L64" s="2" t="inlineStr">
        <is>
          <t>—</t>
        </is>
      </c>
      <c r="M64" s="2" t="inlineStr">
        <is>
          <t>—</t>
        </is>
      </c>
      <c r="N64" s="2" t="inlineStr"/>
      <c r="O64" s="2" t="inlineStr"/>
      <c r="P64" s="2" t="inlineStr"/>
      <c r="Q64" s="2" t="inlineStr"/>
      <c r="R64" s="2" t="inlineStr"/>
      <c r="S64" s="2" t="inlineStr"/>
      <c r="T64" s="2" t="inlineStr"/>
    </row>
    <row r="65" ht="80" customHeight="1">
      <c r="A65" s="2" t="n">
        <v>64</v>
      </c>
      <c r="B65" s="2" t="inlineStr">
        <is>
          <t>J</t>
        </is>
      </c>
      <c r="C65" s="2" t="inlineStr">
        <is>
          <t>Wall brace (W on wall plan)</t>
        </is>
      </c>
      <c r="D65" s="2" t="inlineStr">
        <is>
          <t>70/89mm</t>
        </is>
      </c>
      <c r="E65" s="2" t="inlineStr">
        <is>
          <t>Wall plan, angle-dependent</t>
        </is>
      </c>
      <c r="F65" s="2" t="inlineStr">
        <is>
          <t>End Swage span = 39/cos(a) + 8*tan^2(a)</t>
        </is>
      </c>
      <c r="G65" s="4" t="inlineStr">
        <is>
          <t>Spec'd</t>
        </is>
      </c>
      <c r="H65" s="2" t="inlineStr">
        <is>
          <t>machine-setups.ts: chamferDetail
Replace '39/cos(a) + 8*tan^2(a)' empirical curve with cap-span derived from the chamfered cut edge. End Swage span = chamferDetail.maxX projected onto stick axis + endClearance.</t>
        </is>
      </c>
      <c r="I65" s="2" t="inlineStr"/>
      <c r="J65" s="6" t="inlineStr">
        <is>
          <t>HG260001
GF-LBW-70.075
frame PK4-L27
stick W2</t>
        </is>
      </c>
      <c r="K65" s="2" t="inlineStr">
        <is>
          <t>(see Source col)</t>
        </is>
      </c>
      <c r="L65" s="2" t="inlineStr">
        <is>
          <t>3,834 sticks / 91 pairs</t>
        </is>
      </c>
      <c r="M65" s="2" t="inlineStr">
        <is>
          <t>moderate</t>
        </is>
      </c>
      <c r="N65" s="2" t="inlineStr"/>
      <c r="O65" s="2" t="inlineStr"/>
      <c r="P65" s="7">
        <f>HYPERLINK("file:///C:/Users/Scott/CLAUDE CODE/hytek-rfy-codec/docs/rule-pdfs/rule-64.pdf","rule-64.pdf")</f>
        <v/>
      </c>
      <c r="Q65" s="7">
        <f>HYPERLINK("file:///Y:/(17) 2026 HYTEK PROJECTS/CORAL HOMES/HG260001 LOT 289 (29) COORA CRESENT CURRIMUNDI/06 MANUFACTURING/02 DRAWINGS MANUFACTURING/01 LGS/HG260001 LOT 289 COORA CRESCENT CURRIMUNDI 4551-GF-LBW-70.075.pdf","HG260001 LOT 289 COORA CRESCENT CURRIMUNDI 4551-GF")</f>
        <v/>
      </c>
      <c r="R65" s="7">
        <f>HYPERLINK("file:///Y:/(17) 2026 HYTEK PROJECTS/CORAL HOMES/HG260001 LOT 289 (29) COORA CRESENT CURRIMUNDI/01 PROJECT DOCUMENTATION/02 CURRENT DOCS/01 PDF/CONSTRUCTION DETAILS.pdf","CONSTRUCTION DETAILS.pdf")</f>
        <v/>
      </c>
      <c r="S65" s="7">
        <f>HYPERLINK("file:///Y:/(17) 2026 HYTEK PROJECTS/CORAL HOMES/HG260001 LOT 289 (29) COORA CRESENT CURRIMUNDI/03 DETAILING/03 FRAMECAD DETAILER/HG260001 LOT 289 (29) COORA CRESENT CURRIMUNDI.fcp","HG260001 LOT 289 (29) COORA CRESENT CURRIMUNDI.fcp")</f>
        <v/>
      </c>
      <c r="T65" s="7">
        <f>HYPERLINK("file:///Y:/(17) 2026 HYTEK PROJECTS/CORAL HOMES/HG260001 LOT 289 (29) COORA CRESENT CURRIMUNDI/03 DETAILING/03 FRAMECAD DETAILER/01 XML OUTPUT/HG260001 LOT 289 COORA CRESCENT CURRIMUNDI 4551-GF-LBW-70.075.xml","HG260001 LOT 289 COORA CRESCENT CURRIMUNDI 4551-GF")</f>
        <v/>
      </c>
    </row>
    <row r="66" ht="22" customHeight="1">
      <c r="A66" s="2" t="n">
        <v>65</v>
      </c>
      <c r="B66" s="2" t="inlineStr">
        <is>
          <t>J</t>
        </is>
      </c>
      <c r="C66" s="2" t="inlineStr">
        <is>
          <t>Wall brace (W on wall plan)</t>
        </is>
      </c>
      <c r="D66" s="2" t="inlineStr">
        <is>
          <t>70/89mm</t>
        </is>
      </c>
      <c r="E66" s="2" t="inlineStr">
        <is>
          <t>Wall plan</t>
        </is>
      </c>
      <c r="F66" s="2" t="inlineStr">
        <is>
          <t>End InnerDimple at length-10</t>
        </is>
      </c>
      <c r="G66" s="3" t="inlineStr">
        <is>
          <t>Yes</t>
        </is>
      </c>
      <c r="H66" s="2" t="inlineStr"/>
      <c r="I66" s="2" t="inlineStr"/>
      <c r="J66" s="2" t="inlineStr"/>
      <c r="K66" s="2" t="inlineStr"/>
      <c r="L66" s="2" t="inlineStr">
        <is>
          <t>—</t>
        </is>
      </c>
      <c r="M66" s="2" t="inlineStr">
        <is>
          <t>—</t>
        </is>
      </c>
      <c r="N66" s="2" t="inlineStr"/>
      <c r="O66" s="2" t="inlineStr"/>
      <c r="P66" s="2" t="inlineStr"/>
      <c r="Q66" s="2" t="inlineStr"/>
      <c r="R66" s="2" t="inlineStr"/>
      <c r="S66" s="2" t="inlineStr"/>
      <c r="T66" s="2" t="inlineStr"/>
    </row>
    <row r="67" ht="252" customHeight="1">
      <c r="A67" s="2" t="n">
        <v>66</v>
      </c>
      <c r="B67" s="2" t="inlineStr">
        <is>
          <t>J</t>
        </is>
      </c>
      <c r="C67" s="2" t="inlineStr">
        <is>
          <t>Wall brace (W on wall plan)</t>
        </is>
      </c>
      <c r="D67" s="2" t="inlineStr">
        <is>
          <t>70/89mm</t>
        </is>
      </c>
      <c r="E67" s="2" t="inlineStr">
        <is>
          <t>Wall plan AND angle &gt;= 28 deg</t>
        </is>
      </c>
      <c r="F67" s="2" t="inlineStr">
        <is>
          <t>End Chamfer</t>
        </is>
      </c>
      <c r="G67" s="4" t="inlineStr">
        <is>
          <t>Spec'd</t>
        </is>
      </c>
      <c r="H67" s="2" t="inlineStr">
        <is>
          <t>machine-setups.ts: chamferTolerance + automaticChamfer
Same as rule 61 — auto-chamfer per-end.</t>
        </is>
      </c>
      <c r="I67"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67" s="6" t="inlineStr">
        <is>
          <t>HG260001
GF-LBW-70.075
frame PK4-L27
stick W2</t>
        </is>
      </c>
      <c r="K67" s="2" t="inlineStr">
        <is>
          <t>(see Source col)</t>
        </is>
      </c>
      <c r="L67" s="2" t="inlineStr">
        <is>
          <t>3,834 sticks / 91 pairs</t>
        </is>
      </c>
      <c r="M67" s="2" t="inlineStr">
        <is>
          <t>small</t>
        </is>
      </c>
      <c r="N67" s="2" t="inlineStr"/>
      <c r="O67" s="2" t="inlineStr"/>
      <c r="P67" s="7">
        <f>HYPERLINK("file:///C:/Users/Scott/CLAUDE CODE/hytek-rfy-codec/docs/rule-pdfs/rule-66.pdf","rule-66.pdf")</f>
        <v/>
      </c>
      <c r="Q67" s="7">
        <f>HYPERLINK("file:///Y:/(17) 2026 HYTEK PROJECTS/CORAL HOMES/HG260001 LOT 289 (29) COORA CRESENT CURRIMUNDI/06 MANUFACTURING/02 DRAWINGS MANUFACTURING/01 LGS/HG260001 LOT 289 COORA CRESCENT CURRIMUNDI 4551-GF-LBW-70.075.pdf","HG260001 LOT 289 COORA CRESCENT CURRIMUNDI 4551-GF")</f>
        <v/>
      </c>
      <c r="R67" s="7">
        <f>HYPERLINK("file:///Y:/(17) 2026 HYTEK PROJECTS/CORAL HOMES/HG260001 LOT 289 (29) COORA CRESENT CURRIMUNDI/01 PROJECT DOCUMENTATION/02 CURRENT DOCS/01 PDF/CONSTRUCTION DETAILS.pdf","CONSTRUCTION DETAILS.pdf")</f>
        <v/>
      </c>
      <c r="S67" s="7">
        <f>HYPERLINK("file:///Y:/(17) 2026 HYTEK PROJECTS/CORAL HOMES/HG260001 LOT 289 (29) COORA CRESENT CURRIMUNDI/03 DETAILING/03 FRAMECAD DETAILER/HG260001 LOT 289 (29) COORA CRESENT CURRIMUNDI.fcp","HG260001 LOT 289 (29) COORA CRESENT CURRIMUNDI.fcp")</f>
        <v/>
      </c>
      <c r="T67" s="7">
        <f>HYPERLINK("file:///Y:/(17) 2026 HYTEK PROJECTS/CORAL HOMES/HG260001 LOT 289 (29) COORA CRESENT CURRIMUNDI/03 DETAILING/03 FRAMECAD DETAILER/01 XML OUTPUT/HG260001 LOT 289 COORA CRESCENT CURRIMUNDI 4551-GF-LBW-70.075.xml","HG260001 LOT 289 COORA CRESCENT CURRIMUNDI 4551-GF")</f>
        <v/>
      </c>
    </row>
    <row r="68" ht="22" customHeight="1">
      <c r="A68" s="2" t="n">
        <v>67</v>
      </c>
      <c r="B68" s="2" t="inlineStr">
        <is>
          <t>K</t>
        </is>
      </c>
      <c r="C68" s="2" t="inlineStr">
        <is>
          <t>Truss/joist web (W non-wall)</t>
        </is>
      </c>
      <c r="D68" s="2" t="inlineStr">
        <is>
          <t>70/89mm</t>
        </is>
      </c>
      <c r="E68" s="2" t="inlineStr">
        <is>
          <t>Non-wall plan</t>
        </is>
      </c>
      <c r="F68" s="2" t="inlineStr">
        <is>
          <t>Start Swage span 39mm</t>
        </is>
      </c>
      <c r="G68" s="3" t="inlineStr">
        <is>
          <t>Yes</t>
        </is>
      </c>
      <c r="H68" s="2" t="inlineStr"/>
      <c r="I68" s="2" t="inlineStr"/>
      <c r="J68" s="2" t="inlineStr"/>
      <c r="K68" s="2" t="inlineStr"/>
      <c r="L68" s="2" t="inlineStr">
        <is>
          <t>—</t>
        </is>
      </c>
      <c r="M68" s="2" t="inlineStr">
        <is>
          <t>—</t>
        </is>
      </c>
      <c r="N68" s="2" t="inlineStr"/>
      <c r="O68" s="2" t="inlineStr"/>
      <c r="P68" s="2" t="inlineStr"/>
      <c r="Q68" s="2" t="inlineStr"/>
      <c r="R68" s="2" t="inlineStr"/>
      <c r="S68" s="2" t="inlineStr"/>
      <c r="T68" s="2" t="inlineStr"/>
    </row>
    <row r="69" ht="22" customHeight="1">
      <c r="A69" s="2" t="n">
        <v>68</v>
      </c>
      <c r="B69" s="2" t="inlineStr">
        <is>
          <t>K</t>
        </is>
      </c>
      <c r="C69" s="2" t="inlineStr">
        <is>
          <t>Truss/joist web (W non-wall)</t>
        </is>
      </c>
      <c r="D69" s="2" t="inlineStr">
        <is>
          <t>70/89mm</t>
        </is>
      </c>
      <c r="E69" s="2" t="inlineStr">
        <is>
          <t>Non-wall plan</t>
        </is>
      </c>
      <c r="F69" s="2" t="inlineStr">
        <is>
          <t>Start InnerDimple at 16.5</t>
        </is>
      </c>
      <c r="G69" s="3" t="inlineStr">
        <is>
          <t>Yes</t>
        </is>
      </c>
      <c r="H69" s="2" t="inlineStr"/>
      <c r="I69" s="2" t="inlineStr"/>
      <c r="J69" s="2" t="inlineStr"/>
      <c r="K69" s="2" t="inlineStr"/>
      <c r="L69" s="2" t="inlineStr">
        <is>
          <t>—</t>
        </is>
      </c>
      <c r="M69" s="2" t="inlineStr">
        <is>
          <t>—</t>
        </is>
      </c>
      <c r="N69" s="2" t="inlineStr"/>
      <c r="O69" s="2" t="inlineStr"/>
      <c r="P69" s="2" t="inlineStr"/>
      <c r="Q69" s="2" t="inlineStr"/>
      <c r="R69" s="2" t="inlineStr"/>
      <c r="S69" s="2" t="inlineStr"/>
      <c r="T69" s="2" t="inlineStr"/>
    </row>
    <row r="70" ht="22" customHeight="1">
      <c r="A70" s="2" t="n">
        <v>69</v>
      </c>
      <c r="B70" s="2" t="inlineStr">
        <is>
          <t>K</t>
        </is>
      </c>
      <c r="C70" s="2" t="inlineStr">
        <is>
          <t>Truss/joist web (W non-wall)</t>
        </is>
      </c>
      <c r="D70" s="2" t="inlineStr">
        <is>
          <t>70/89mm</t>
        </is>
      </c>
      <c r="E70" s="2" t="inlineStr">
        <is>
          <t>Non-wall plan</t>
        </is>
      </c>
      <c r="F70" s="2" t="inlineStr">
        <is>
          <t>End Swage span 39mm</t>
        </is>
      </c>
      <c r="G70" s="3" t="inlineStr">
        <is>
          <t>Yes</t>
        </is>
      </c>
      <c r="H70" s="2" t="inlineStr"/>
      <c r="I70" s="2" t="inlineStr"/>
      <c r="J70" s="2" t="inlineStr"/>
      <c r="K70" s="2" t="inlineStr"/>
      <c r="L70" s="2" t="inlineStr">
        <is>
          <t>—</t>
        </is>
      </c>
      <c r="M70" s="2" t="inlineStr">
        <is>
          <t>—</t>
        </is>
      </c>
      <c r="N70" s="2" t="inlineStr"/>
      <c r="O70" s="2" t="inlineStr"/>
      <c r="P70" s="2" t="inlineStr"/>
      <c r="Q70" s="2" t="inlineStr"/>
      <c r="R70" s="2" t="inlineStr"/>
      <c r="S70" s="2" t="inlineStr"/>
      <c r="T70" s="2" t="inlineStr"/>
    </row>
    <row r="71" ht="22" customHeight="1">
      <c r="A71" s="2" t="n">
        <v>70</v>
      </c>
      <c r="B71" s="2" t="inlineStr">
        <is>
          <t>K</t>
        </is>
      </c>
      <c r="C71" s="2" t="inlineStr">
        <is>
          <t>Truss/joist web (W non-wall)</t>
        </is>
      </c>
      <c r="D71" s="2" t="inlineStr">
        <is>
          <t>70/89mm</t>
        </is>
      </c>
      <c r="E71" s="2" t="inlineStr">
        <is>
          <t>Non-wall plan</t>
        </is>
      </c>
      <c r="F71" s="2" t="inlineStr">
        <is>
          <t>End InnerDimple at length-16.5</t>
        </is>
      </c>
      <c r="G71" s="3" t="inlineStr">
        <is>
          <t>Yes</t>
        </is>
      </c>
      <c r="H71" s="2" t="inlineStr"/>
      <c r="I71" s="2" t="inlineStr"/>
      <c r="J71" s="2" t="inlineStr"/>
      <c r="K71" s="2" t="inlineStr"/>
      <c r="L71" s="2" t="inlineStr">
        <is>
          <t>—</t>
        </is>
      </c>
      <c r="M71" s="2" t="inlineStr">
        <is>
          <t>—</t>
        </is>
      </c>
      <c r="N71" s="2" t="inlineStr"/>
      <c r="O71" s="2" t="inlineStr"/>
      <c r="P71" s="2" t="inlineStr"/>
      <c r="Q71" s="2" t="inlineStr"/>
      <c r="R71" s="2" t="inlineStr"/>
      <c r="S71" s="2" t="inlineStr"/>
      <c r="T71" s="2" t="inlineStr"/>
    </row>
    <row r="72" ht="22" customHeight="1">
      <c r="A72" s="2" t="n">
        <v>71</v>
      </c>
      <c r="B72" s="2" t="inlineStr">
        <is>
          <t>L</t>
        </is>
      </c>
      <c r="C72" s="2" t="inlineStr">
        <is>
          <t>Lintel/sill (L)</t>
        </is>
      </c>
      <c r="D72" s="2" t="inlineStr">
        <is>
          <t>70mm</t>
        </is>
      </c>
      <c r="E72" s="2" t="inlineStr">
        <is>
          <t>Always</t>
        </is>
      </c>
      <c r="F72" s="2" t="inlineStr">
        <is>
          <t>Start InnerNotch span 39mm</t>
        </is>
      </c>
      <c r="G72" s="3" t="inlineStr">
        <is>
          <t>Yes</t>
        </is>
      </c>
      <c r="H72" s="2" t="inlineStr"/>
      <c r="I72" s="2" t="inlineStr"/>
      <c r="J72" s="2" t="inlineStr"/>
      <c r="K72" s="2" t="inlineStr"/>
      <c r="L72" s="2" t="inlineStr">
        <is>
          <t>—</t>
        </is>
      </c>
      <c r="M72" s="2" t="inlineStr">
        <is>
          <t>—</t>
        </is>
      </c>
      <c r="N72" s="2" t="inlineStr"/>
      <c r="O72" s="2" t="inlineStr"/>
      <c r="P72" s="2" t="inlineStr"/>
      <c r="Q72" s="2" t="inlineStr"/>
      <c r="R72" s="2" t="inlineStr"/>
      <c r="S72" s="2" t="inlineStr"/>
      <c r="T72" s="2" t="inlineStr"/>
    </row>
    <row r="73" ht="22" customHeight="1">
      <c r="A73" s="2" t="n">
        <v>72</v>
      </c>
      <c r="B73" s="2" t="inlineStr">
        <is>
          <t>L</t>
        </is>
      </c>
      <c r="C73" s="2" t="inlineStr">
        <is>
          <t>Lintel/sill (L)</t>
        </is>
      </c>
      <c r="D73" s="2" t="inlineStr">
        <is>
          <t>70mm</t>
        </is>
      </c>
      <c r="E73" s="2" t="inlineStr">
        <is>
          <t>Always</t>
        </is>
      </c>
      <c r="F73" s="2" t="inlineStr">
        <is>
          <t>Start LipNotch span 39mm</t>
        </is>
      </c>
      <c r="G73" s="3" t="inlineStr">
        <is>
          <t>Yes</t>
        </is>
      </c>
      <c r="H73" s="2" t="inlineStr"/>
      <c r="I73" s="2" t="inlineStr"/>
      <c r="J73" s="2" t="inlineStr"/>
      <c r="K73" s="2" t="inlineStr"/>
      <c r="L73" s="2" t="inlineStr">
        <is>
          <t>—</t>
        </is>
      </c>
      <c r="M73" s="2" t="inlineStr">
        <is>
          <t>—</t>
        </is>
      </c>
      <c r="N73" s="2" t="inlineStr"/>
      <c r="O73" s="2" t="inlineStr"/>
      <c r="P73" s="2" t="inlineStr"/>
      <c r="Q73" s="2" t="inlineStr"/>
      <c r="R73" s="2" t="inlineStr"/>
      <c r="S73" s="2" t="inlineStr"/>
      <c r="T73" s="2" t="inlineStr"/>
    </row>
    <row r="74" ht="22" customHeight="1">
      <c r="A74" s="2" t="n">
        <v>73</v>
      </c>
      <c r="B74" s="2" t="inlineStr">
        <is>
          <t>L</t>
        </is>
      </c>
      <c r="C74" s="2" t="inlineStr">
        <is>
          <t>Lintel/sill (L)</t>
        </is>
      </c>
      <c r="D74" s="2" t="inlineStr">
        <is>
          <t>70mm</t>
        </is>
      </c>
      <c r="E74" s="2" t="inlineStr">
        <is>
          <t>Always</t>
        </is>
      </c>
      <c r="F74" s="2" t="inlineStr">
        <is>
          <t>Start InnerDimple at 16.5</t>
        </is>
      </c>
      <c r="G74" s="3" t="inlineStr">
        <is>
          <t>Yes</t>
        </is>
      </c>
      <c r="H74" s="2" t="inlineStr"/>
      <c r="I74" s="2" t="inlineStr"/>
      <c r="J74" s="2" t="inlineStr"/>
      <c r="K74" s="2" t="inlineStr"/>
      <c r="L74" s="2" t="inlineStr">
        <is>
          <t>—</t>
        </is>
      </c>
      <c r="M74" s="2" t="inlineStr">
        <is>
          <t>—</t>
        </is>
      </c>
      <c r="N74" s="2" t="inlineStr"/>
      <c r="O74" s="2" t="inlineStr"/>
      <c r="P74" s="2" t="inlineStr"/>
      <c r="Q74" s="2" t="inlineStr"/>
      <c r="R74" s="2" t="inlineStr"/>
      <c r="S74" s="2" t="inlineStr"/>
      <c r="T74" s="2" t="inlineStr"/>
    </row>
    <row r="75" ht="208" customHeight="1">
      <c r="A75" s="2" t="n">
        <v>74</v>
      </c>
      <c r="B75" s="2" t="inlineStr">
        <is>
          <t>L</t>
        </is>
      </c>
      <c r="C75" s="2" t="inlineStr">
        <is>
          <t>Lintel/sill (L)</t>
        </is>
      </c>
      <c r="D75" s="2" t="inlineStr">
        <is>
          <t>89mm</t>
        </is>
      </c>
      <c r="E75" s="2" t="inlineStr">
        <is>
          <t>Always</t>
        </is>
      </c>
      <c r="F75" s="2" t="inlineStr">
        <is>
          <t>Start InnerDimple at 58.5 (paired)</t>
        </is>
      </c>
      <c r="G75" s="8" t="inlineStr">
        <is>
          <t>No</t>
        </is>
      </c>
      <c r="H75" s="2" t="inlineStr"/>
      <c r="I75" s="5" t="inlineStr">
        <is>
          <t>MINED FROM 1,465 STICKS — overall 49.7% match
"Header @58.5 paired dimple — does Detailer emit it?"
By plan_type:
  LBW                                720/1007  =  71.5%
  NLBW                                 8/458   =   1.7%
By (plan_type, gauge):
  LBW/0.75                           446/599   =  74.5%
  NLBW/0.75                            8/448   =   1.8%
  LBW/0.95                           240/351   =  68.4%
  LBW/1.15                            34/57    =  59.6%
  NLBW/0.95                            0/10    =   0.0%</t>
        </is>
      </c>
      <c r="J75" s="6" t="inlineStr">
        <is>
          <t>HG260002
GF-LBW-89.075
frame L24
stick L3</t>
        </is>
      </c>
      <c r="K75" s="2" t="inlineStr">
        <is>
          <t>Why does 89mm L always get the 58.5 dimple but 70mm L doesn't? Or is it actually LBW-only too?</t>
        </is>
      </c>
      <c r="L75" s="2" t="inlineStr">
        <is>
          <t>156 sticks / 22 pairs</t>
        </is>
      </c>
      <c r="M75" s="2" t="inlineStr">
        <is>
          <t>small</t>
        </is>
      </c>
      <c r="N75" s="2" t="inlineStr">
        <is>
          <t>WHAT WE EMIT: 89mm sills (L role) get a paired dimple at 58.5 from each end. 70mm lintels DON'T.
WHAT WORRIES ME: Same shape as the LBW-paired-dimple question. Why does 89mm L always get it but 70mm L doesn't? Is it really profile-dependent?
WHAT I NEED FROM YOU: Do 70mm LBW lintels get the 58.5 paired dimple too? If so, the rule should match 70mm headers (LBW gets paired, NLBW doesn't). Is 58.5 always exactly that, or does it scale?</t>
        </is>
      </c>
      <c r="O75" s="9" t="inlineStr">
        <is>
          <t xml:space="preserve">THE RULE SHOULD FIRE WHEN: 
THE VALUES ARE: 
IT SHOULD NOT FIRE WHEN: 
WHY (physical reason): </t>
        </is>
      </c>
      <c r="P75" s="7">
        <f>HYPERLINK("file:///C:/Users/Scott/CLAUDE CODE/hytek-rfy-codec/docs/rule-pdfs/rule-74.pdf","rule-74.pdf")</f>
        <v/>
      </c>
      <c r="Q75" s="7">
        <f>HYPERLINK("file:///Y:/(17) 2026 HYTEK PROJECTS/BOWE PROJECTS/HG260002 5 MOSSIP COURT WELLINGTON POINT/06 MANUFACTURING/02 DRAWINGS MANUFACTURING/01 LGS/HG260002 5 MOSSIP COURT WELLINGTON POINT-GF-LBW-89.075.pdf","HG260002 5 MOSSIP COURT WELLINGTON POINT-GF-LBW-89")</f>
        <v/>
      </c>
      <c r="R75" s="2" t="inlineStr"/>
      <c r="S75" s="7">
        <f>HYPERLINK("file:///Y:/(17) 2026 HYTEK PROJECTS/BOWE PROJECTS/HG260002 5 MOSSIP COURT WELLINGTON POINT/03 DETAILING/03 FRAMECAD DETAILER/HG260002 5 MOSSIP COURT WELLINGTON POINT.fcp","HG260002 5 MOSSIP COURT WELLINGTON POINT.fcp")</f>
        <v/>
      </c>
      <c r="T75" s="7">
        <f>HYPERLINK("file:///Y:/(17) 2026 HYTEK PROJECTS/BOWE PROJECTS/HG260002 5 MOSSIP COURT WELLINGTON POINT/03 DETAILING/03 FRAMECAD DETAILER/01 XML OUTPUT/HG260002 5 MOSSIP COURT WELLINGTON POINT-GF-LBW-89.075.xml","HG260002 5 MOSSIP COURT WELLINGTON POINT-GF-LBW-89")</f>
        <v/>
      </c>
    </row>
    <row r="76" ht="169" customHeight="1">
      <c r="A76" s="2" t="n">
        <v>75</v>
      </c>
      <c r="B76" s="2" t="inlineStr">
        <is>
          <t>L</t>
        </is>
      </c>
      <c r="C76" s="2" t="inlineStr">
        <is>
          <t>Lintel/sill (L)</t>
        </is>
      </c>
      <c r="D76" s="2" t="inlineStr">
        <is>
          <t>89mm</t>
        </is>
      </c>
      <c r="E76" s="2" t="inlineStr">
        <is>
          <t>Always</t>
        </is>
      </c>
      <c r="F76" s="2" t="inlineStr">
        <is>
          <t>End InnerDimple at length-58.5</t>
        </is>
      </c>
      <c r="G76" s="8" t="inlineStr">
        <is>
          <t>No</t>
        </is>
      </c>
      <c r="H76" s="2" t="inlineStr"/>
      <c r="I76" s="5" t="inlineStr">
        <is>
          <t>MINED FROM 1,465 STICKS — overall 49.7% match
"Header @58.5 paired dimple — does Detailer emit it?"
By plan_type:
  LBW                                720/1007  =  71.5%
  NLBW                                 8/458   =   1.7%
By (plan_type, gauge):
  LBW/0.75                           446/599   =  74.5%
  NLBW/0.75                            8/448   =   1.8%
  LBW/0.95                           240/351   =  68.4%
  LBW/1.15                            34/57    =  59.6%
  NLBW/0.95                            0/10    =   0.0%</t>
        </is>
      </c>
      <c r="J76" s="6" t="inlineStr">
        <is>
          <t>HG260002
GF-LBW-89.075
frame L24
stick L3</t>
        </is>
      </c>
      <c r="K76" s="2" t="inlineStr">
        <is>
          <t>Same as rule 74.</t>
        </is>
      </c>
      <c r="L76" s="2" t="inlineStr">
        <is>
          <t>156 sticks / 22 pairs</t>
        </is>
      </c>
      <c r="M76" s="2" t="inlineStr">
        <is>
          <t>small</t>
        </is>
      </c>
      <c r="N76" s="2" t="inlineStr">
        <is>
          <t>Mirror of rule 74 at the end.</t>
        </is>
      </c>
      <c r="O76" s="9" t="inlineStr">
        <is>
          <t xml:space="preserve">THE RULE SHOULD FIRE WHEN: 
THE VALUES ARE: 
IT SHOULD NOT FIRE WHEN: 
WHY (physical reason): </t>
        </is>
      </c>
      <c r="P76" s="7">
        <f>HYPERLINK("file:///C:/Users/Scott/CLAUDE CODE/hytek-rfy-codec/docs/rule-pdfs/rule-75.pdf","rule-75.pdf")</f>
        <v/>
      </c>
      <c r="Q76" s="7">
        <f>HYPERLINK("file:///Y:/(17) 2026 HYTEK PROJECTS/BOWE PROJECTS/HG260002 5 MOSSIP COURT WELLINGTON POINT/06 MANUFACTURING/02 DRAWINGS MANUFACTURING/01 LGS/HG260002 5 MOSSIP COURT WELLINGTON POINT-GF-LBW-89.075.pdf","HG260002 5 MOSSIP COURT WELLINGTON POINT-GF-LBW-89")</f>
        <v/>
      </c>
      <c r="R76" s="2" t="inlineStr"/>
      <c r="S76" s="7">
        <f>HYPERLINK("file:///Y:/(17) 2026 HYTEK PROJECTS/BOWE PROJECTS/HG260002 5 MOSSIP COURT WELLINGTON POINT/03 DETAILING/03 FRAMECAD DETAILER/HG260002 5 MOSSIP COURT WELLINGTON POINT.fcp","HG260002 5 MOSSIP COURT WELLINGTON POINT.fcp")</f>
        <v/>
      </c>
      <c r="T76" s="7">
        <f>HYPERLINK("file:///Y:/(17) 2026 HYTEK PROJECTS/BOWE PROJECTS/HG260002 5 MOSSIP COURT WELLINGTON POINT/03 DETAILING/03 FRAMECAD DETAILER/01 XML OUTPUT/HG260002 5 MOSSIP COURT WELLINGTON POINT-GF-LBW-89.075.xml","HG260002 5 MOSSIP COURT WELLINGTON POINT-GF-LBW-89")</f>
        <v/>
      </c>
    </row>
    <row r="77" ht="22" customHeight="1">
      <c r="A77" s="2" t="n">
        <v>76</v>
      </c>
      <c r="B77" s="2" t="inlineStr">
        <is>
          <t>L</t>
        </is>
      </c>
      <c r="C77" s="2" t="inlineStr">
        <is>
          <t>Lintel/sill (L)</t>
        </is>
      </c>
      <c r="D77" s="2" t="inlineStr">
        <is>
          <t>70mm</t>
        </is>
      </c>
      <c r="E77" s="2" t="inlineStr">
        <is>
          <t>Always</t>
        </is>
      </c>
      <c r="F77" s="2" t="inlineStr">
        <is>
          <t>End InnerDimple at length-16.5</t>
        </is>
      </c>
      <c r="G77" s="3" t="inlineStr">
        <is>
          <t>Yes</t>
        </is>
      </c>
      <c r="H77" s="2" t="inlineStr"/>
      <c r="I77" s="2" t="inlineStr"/>
      <c r="J77" s="2" t="inlineStr"/>
      <c r="K77" s="2" t="inlineStr"/>
      <c r="L77" s="2" t="inlineStr">
        <is>
          <t>—</t>
        </is>
      </c>
      <c r="M77" s="2" t="inlineStr">
        <is>
          <t>—</t>
        </is>
      </c>
      <c r="N77" s="2" t="inlineStr"/>
      <c r="O77" s="2" t="inlineStr"/>
      <c r="P77" s="2" t="inlineStr"/>
      <c r="Q77" s="2" t="inlineStr"/>
      <c r="R77" s="2" t="inlineStr"/>
      <c r="S77" s="2" t="inlineStr"/>
      <c r="T77" s="2" t="inlineStr"/>
    </row>
    <row r="78" ht="22" customHeight="1">
      <c r="A78" s="2" t="n">
        <v>77</v>
      </c>
      <c r="B78" s="2" t="inlineStr">
        <is>
          <t>L</t>
        </is>
      </c>
      <c r="C78" s="2" t="inlineStr">
        <is>
          <t>Lintel/sill (L)</t>
        </is>
      </c>
      <c r="D78" s="2" t="inlineStr">
        <is>
          <t>70mm</t>
        </is>
      </c>
      <c r="E78" s="2" t="inlineStr">
        <is>
          <t>Always</t>
        </is>
      </c>
      <c r="F78" s="2" t="inlineStr">
        <is>
          <t>End InnerNotch span 39mm</t>
        </is>
      </c>
      <c r="G78" s="3" t="inlineStr">
        <is>
          <t>Yes</t>
        </is>
      </c>
      <c r="H78" s="2" t="inlineStr"/>
      <c r="I78" s="2" t="inlineStr"/>
      <c r="J78" s="2" t="inlineStr"/>
      <c r="K78" s="2" t="inlineStr"/>
      <c r="L78" s="2" t="inlineStr">
        <is>
          <t>—</t>
        </is>
      </c>
      <c r="M78" s="2" t="inlineStr">
        <is>
          <t>—</t>
        </is>
      </c>
      <c r="N78" s="2" t="inlineStr"/>
      <c r="O78" s="2" t="inlineStr"/>
      <c r="P78" s="2" t="inlineStr"/>
      <c r="Q78" s="2" t="inlineStr"/>
      <c r="R78" s="2" t="inlineStr"/>
      <c r="S78" s="2" t="inlineStr"/>
      <c r="T78" s="2" t="inlineStr"/>
    </row>
    <row r="79" ht="22" customHeight="1">
      <c r="A79" s="2" t="n">
        <v>78</v>
      </c>
      <c r="B79" s="2" t="inlineStr">
        <is>
          <t>L</t>
        </is>
      </c>
      <c r="C79" s="2" t="inlineStr">
        <is>
          <t>Lintel/sill (L)</t>
        </is>
      </c>
      <c r="D79" s="2" t="inlineStr">
        <is>
          <t>70mm</t>
        </is>
      </c>
      <c r="E79" s="2" t="inlineStr">
        <is>
          <t>Always</t>
        </is>
      </c>
      <c r="F79" s="2" t="inlineStr">
        <is>
          <t>End LipNotch span 39mm</t>
        </is>
      </c>
      <c r="G79" s="3" t="inlineStr">
        <is>
          <t>Yes</t>
        </is>
      </c>
      <c r="H79" s="2" t="inlineStr"/>
      <c r="I79" s="2" t="inlineStr"/>
      <c r="J79" s="2" t="inlineStr"/>
      <c r="K79" s="2" t="inlineStr"/>
      <c r="L79" s="2" t="inlineStr">
        <is>
          <t>—</t>
        </is>
      </c>
      <c r="M79" s="2" t="inlineStr">
        <is>
          <t>—</t>
        </is>
      </c>
      <c r="N79" s="2" t="inlineStr"/>
      <c r="O79" s="2" t="inlineStr"/>
      <c r="P79" s="2" t="inlineStr"/>
      <c r="Q79" s="2" t="inlineStr"/>
      <c r="R79" s="2" t="inlineStr"/>
      <c r="S79" s="2" t="inlineStr"/>
      <c r="T79" s="2" t="inlineStr"/>
    </row>
    <row r="80" ht="143" customHeight="1">
      <c r="A80" s="2" t="n">
        <v>79</v>
      </c>
      <c r="B80" s="2" t="inlineStr">
        <is>
          <t>M</t>
        </is>
      </c>
      <c r="C80" s="2" t="inlineStr">
        <is>
          <t>Brace/Ribbon (Br, R)</t>
        </is>
      </c>
      <c r="D80" s="2" t="inlineStr">
        <is>
          <t>70mm</t>
        </is>
      </c>
      <c r="E80" s="2" t="inlineStr">
        <is>
          <t>Always</t>
        </is>
      </c>
      <c r="F80" s="2" t="inlineStr">
        <is>
          <t>Start Swage span 41mm</t>
        </is>
      </c>
      <c r="G80" s="8" t="inlineStr">
        <is>
          <t>No</t>
        </is>
      </c>
      <c r="H80" s="2" t="inlineStr"/>
      <c r="I80" s="5" t="inlineStr">
        <is>
          <t>MINED FROM 194 STICKS — overall 38.1% match
"Br/R has Swage span &gt;=40.5mm (vs standard 39)"
By plan_type:
  TIN                                 74/113   =  65.5%
  TB2B                                 0/81    =   0.0%
By frame_type:
  Truss                               72/192   =  37.5%</t>
        </is>
      </c>
      <c r="J80" s="6" t="inlineStr">
        <is>
          <t>HG260044
GF-TIN-70.075
frame PC2-1
stick R3</t>
        </is>
      </c>
      <c r="K80" s="2" t="inlineStr">
        <is>
          <t>What's the difference between Br, R, and W? Should Br/R use 41mm cap + 11mm dimple or same as studs?</t>
        </is>
      </c>
      <c r="L80" s="2" t="inlineStr">
        <is>
          <t>194 sticks / 56 pairs</t>
        </is>
      </c>
      <c r="M80" s="2" t="inlineStr">
        <is>
          <t>small</t>
        </is>
      </c>
      <c r="N80" s="2" t="inlineStr">
        <is>
          <t>WHAT WE EMIT: Sticks named with prefix Br or R get a Swage cap of 41mm at the start (vs 39mm for studs, 42mm for Kb).
WHAT WORRIES ME: Single sample subset.
WHAT I NEED FROM YOU: What's the difference between Br, R, and W in HYTEK terminology? Should Br/R use 41mm cap + 11mm dimple, or actually use 39mm + 16.5mm like studs?</t>
        </is>
      </c>
      <c r="O80" s="9" t="inlineStr">
        <is>
          <t xml:space="preserve">THE RULE SHOULD FIRE WHEN: 
THE VALUES ARE: 
IT SHOULD NOT FIRE WHEN: 
WHY (physical reason): </t>
        </is>
      </c>
      <c r="P80" s="7">
        <f>HYPERLINK("file:///C:/Users/Scott/CLAUDE CODE/hytek-rfy-codec/docs/rule-pdfs/rule-79.pdf","rule-79.pdf")</f>
        <v/>
      </c>
      <c r="Q80" s="7">
        <f>HYPERLINK("file:///Y:/(17) 2026 HYTEK PROJECTS/CORAL HOMES/HG260044 LOT 1810 (14) ELDERBERRY ST UPPER CABOOLTURE/06 MANUFACTURING/02 DRAWINGS MANUFACTURING/01 LGS/HG260044 LOT 1810 (14) ELDERBERRY ST UPPER CABOOLTURE-GF-TIN-70.075.pdf","HG260044 LOT 1810 (14) ELDERBERRY ST UPPER CABOOLT")</f>
        <v/>
      </c>
      <c r="R80" s="2" t="inlineStr"/>
      <c r="S80" s="7">
        <f>HYPERLINK("file:///Y:/(17) 2026 HYTEK PROJECTS/CORAL HOMES/HG260044 LOT 1810 (14) ELDERBERRY ST UPPER CABOOLTURE/03 DETAILING/03 FRAMECAD DETAILER/HG260044 LOT 1810 (14) ELDERBERRY ST UPPER CABOOLTURE.fcp","HG260044 LOT 1810 (14) ELDERBERRY ST UPPER CABOOLT")</f>
        <v/>
      </c>
      <c r="T80" s="7">
        <f>HYPERLINK("file:///Y:/(17) 2026 HYTEK PROJECTS/CORAL HOMES/HG260044 LOT 1810 (14) ELDERBERRY ST UPPER CABOOLTURE/03 DETAILING/03 FRAMECAD DETAILER/01 XML OUTPUT/HG260044 LOT 1810 (14) ELDERBERRY ST UPPER CABOOLTURE-GF-TIN-70.075.xml","HG260044 LOT 1810 (14) ELDERBERRY ST UPPER CABOOLT")</f>
        <v/>
      </c>
    </row>
    <row r="81" ht="140" customHeight="1">
      <c r="A81" s="2" t="n">
        <v>80</v>
      </c>
      <c r="B81" s="2" t="inlineStr">
        <is>
          <t>M</t>
        </is>
      </c>
      <c r="C81" s="2" t="inlineStr">
        <is>
          <t>Brace/Ribbon (Br, R)</t>
        </is>
      </c>
      <c r="D81" s="2" t="inlineStr">
        <is>
          <t>70mm</t>
        </is>
      </c>
      <c r="E81" s="2" t="inlineStr">
        <is>
          <t>Always</t>
        </is>
      </c>
      <c r="F81" s="2" t="inlineStr">
        <is>
          <t>Start InnerDimple at 11mm</t>
        </is>
      </c>
      <c r="G81" s="8" t="inlineStr">
        <is>
          <t>No</t>
        </is>
      </c>
      <c r="H81" s="2" t="inlineStr"/>
      <c r="I81" s="5" t="inlineStr">
        <is>
          <t>MINED FROM 194 STICKS — overall 38.1% match
"Br/R has Swage span &gt;=40.5mm (vs standard 39)"
By plan_type:
  TIN                                 74/113   =  65.5%
  TB2B                                 0/81    =   0.0%
By frame_type:
  Truss                               72/192   =  37.5%</t>
        </is>
      </c>
      <c r="J81" s="6" t="inlineStr">
        <is>
          <t>HG260044
GF-TIN-70.075
frame PC2-1
stick R3</t>
        </is>
      </c>
      <c r="K81" s="2" t="inlineStr">
        <is>
          <t>Same as rule 79.</t>
        </is>
      </c>
      <c r="L81" s="2" t="inlineStr">
        <is>
          <t>194 sticks / 56 pairs</t>
        </is>
      </c>
      <c r="M81" s="2" t="inlineStr">
        <is>
          <t>small</t>
        </is>
      </c>
      <c r="N81" s="2" t="inlineStr">
        <is>
          <t>Same as rule 79 — confirm 11mm dimple offset or correct.</t>
        </is>
      </c>
      <c r="O81" s="9" t="inlineStr">
        <is>
          <t xml:space="preserve">THE RULE SHOULD FIRE WHEN: 
THE VALUES ARE: 
IT SHOULD NOT FIRE WHEN: 
WHY (physical reason): </t>
        </is>
      </c>
      <c r="P81" s="7">
        <f>HYPERLINK("file:///C:/Users/Scott/CLAUDE CODE/hytek-rfy-codec/docs/rule-pdfs/rule-80.pdf","rule-80.pdf")</f>
        <v/>
      </c>
      <c r="Q81" s="7">
        <f>HYPERLINK("file:///Y:/(17) 2026 HYTEK PROJECTS/CORAL HOMES/HG260044 LOT 1810 (14) ELDERBERRY ST UPPER CABOOLTURE/06 MANUFACTURING/02 DRAWINGS MANUFACTURING/01 LGS/HG260044 LOT 1810 (14) ELDERBERRY ST UPPER CABOOLTURE-GF-TIN-70.075.pdf","HG260044 LOT 1810 (14) ELDERBERRY ST UPPER CABOOLT")</f>
        <v/>
      </c>
      <c r="R81" s="2" t="inlineStr"/>
      <c r="S81" s="7">
        <f>HYPERLINK("file:///Y:/(17) 2026 HYTEK PROJECTS/CORAL HOMES/HG260044 LOT 1810 (14) ELDERBERRY ST UPPER CABOOLTURE/03 DETAILING/03 FRAMECAD DETAILER/HG260044 LOT 1810 (14) ELDERBERRY ST UPPER CABOOLTURE.fcp","HG260044 LOT 1810 (14) ELDERBERRY ST UPPER CABOOLT")</f>
        <v/>
      </c>
      <c r="T81" s="7">
        <f>HYPERLINK("file:///Y:/(17) 2026 HYTEK PROJECTS/CORAL HOMES/HG260044 LOT 1810 (14) ELDERBERRY ST UPPER CABOOLTURE/03 DETAILING/03 FRAMECAD DETAILER/01 XML OUTPUT/HG260044 LOT 1810 (14) ELDERBERRY ST UPPER CABOOLTURE-GF-TIN-70.075.xml","HG260044 LOT 1810 (14) ELDERBERRY ST UPPER CABOOLT")</f>
        <v/>
      </c>
    </row>
    <row r="82" ht="140" customHeight="1">
      <c r="A82" s="2" t="n">
        <v>81</v>
      </c>
      <c r="B82" s="2" t="inlineStr">
        <is>
          <t>M</t>
        </is>
      </c>
      <c r="C82" s="2" t="inlineStr">
        <is>
          <t>Brace/Ribbon (Br, R)</t>
        </is>
      </c>
      <c r="D82" s="2" t="inlineStr">
        <is>
          <t>70mm</t>
        </is>
      </c>
      <c r="E82" s="2" t="inlineStr">
        <is>
          <t>Always</t>
        </is>
      </c>
      <c r="F82" s="2" t="inlineStr">
        <is>
          <t>End Swage span 41mm</t>
        </is>
      </c>
      <c r="G82" s="8" t="inlineStr">
        <is>
          <t>No</t>
        </is>
      </c>
      <c r="H82" s="2" t="inlineStr"/>
      <c r="I82" s="5" t="inlineStr">
        <is>
          <t>MINED FROM 194 STICKS — overall 38.1% match
"Br/R has Swage span &gt;=40.5mm (vs standard 39)"
By plan_type:
  TIN                                 74/113   =  65.5%
  TB2B                                 0/81    =   0.0%
By frame_type:
  Truss                               72/192   =  37.5%</t>
        </is>
      </c>
      <c r="J82" s="6" t="inlineStr">
        <is>
          <t>HG260044
GF-TIN-70.075
frame PC2-1
stick R3</t>
        </is>
      </c>
      <c r="K82" s="2" t="inlineStr">
        <is>
          <t>Same as rule 79.</t>
        </is>
      </c>
      <c r="L82" s="2" t="inlineStr">
        <is>
          <t>194 sticks / 56 pairs</t>
        </is>
      </c>
      <c r="M82" s="2" t="inlineStr">
        <is>
          <t>small</t>
        </is>
      </c>
      <c r="N82" s="2" t="inlineStr">
        <is>
          <t>Same as rule 79 — mirror at end.</t>
        </is>
      </c>
      <c r="O82" s="9" t="inlineStr">
        <is>
          <t xml:space="preserve">THE RULE SHOULD FIRE WHEN: 
THE VALUES ARE: 
IT SHOULD NOT FIRE WHEN: 
WHY (physical reason): </t>
        </is>
      </c>
      <c r="P82" s="7">
        <f>HYPERLINK("file:///C:/Users/Scott/CLAUDE CODE/hytek-rfy-codec/docs/rule-pdfs/rule-81.pdf","rule-81.pdf")</f>
        <v/>
      </c>
      <c r="Q82" s="7">
        <f>HYPERLINK("file:///Y:/(17) 2026 HYTEK PROJECTS/CORAL HOMES/HG260044 LOT 1810 (14) ELDERBERRY ST UPPER CABOOLTURE/06 MANUFACTURING/02 DRAWINGS MANUFACTURING/01 LGS/HG260044 LOT 1810 (14) ELDERBERRY ST UPPER CABOOLTURE-GF-TIN-70.075.pdf","HG260044 LOT 1810 (14) ELDERBERRY ST UPPER CABOOLT")</f>
        <v/>
      </c>
      <c r="R82" s="2" t="inlineStr"/>
      <c r="S82" s="7">
        <f>HYPERLINK("file:///Y:/(17) 2026 HYTEK PROJECTS/CORAL HOMES/HG260044 LOT 1810 (14) ELDERBERRY ST UPPER CABOOLTURE/03 DETAILING/03 FRAMECAD DETAILER/HG260044 LOT 1810 (14) ELDERBERRY ST UPPER CABOOLTURE.fcp","HG260044 LOT 1810 (14) ELDERBERRY ST UPPER CABOOLT")</f>
        <v/>
      </c>
      <c r="T82" s="7">
        <f>HYPERLINK("file:///Y:/(17) 2026 HYTEK PROJECTS/CORAL HOMES/HG260044 LOT 1810 (14) ELDERBERRY ST UPPER CABOOLTURE/03 DETAILING/03 FRAMECAD DETAILER/01 XML OUTPUT/HG260044 LOT 1810 (14) ELDERBERRY ST UPPER CABOOLTURE-GF-TIN-70.075.xml","HG260044 LOT 1810 (14) ELDERBERRY ST UPPER CABOOLT")</f>
        <v/>
      </c>
    </row>
    <row r="83" ht="140" customHeight="1">
      <c r="A83" s="2" t="n">
        <v>82</v>
      </c>
      <c r="B83" s="2" t="inlineStr">
        <is>
          <t>M</t>
        </is>
      </c>
      <c r="C83" s="2" t="inlineStr">
        <is>
          <t>Brace/Ribbon (Br, R)</t>
        </is>
      </c>
      <c r="D83" s="2" t="inlineStr">
        <is>
          <t>70mm</t>
        </is>
      </c>
      <c r="E83" s="2" t="inlineStr">
        <is>
          <t>Always</t>
        </is>
      </c>
      <c r="F83" s="2" t="inlineStr">
        <is>
          <t>End InnerDimple at length-11</t>
        </is>
      </c>
      <c r="G83" s="8" t="inlineStr">
        <is>
          <t>No</t>
        </is>
      </c>
      <c r="H83" s="2" t="inlineStr"/>
      <c r="I83" s="5" t="inlineStr">
        <is>
          <t>MINED FROM 194 STICKS — overall 38.1% match
"Br/R has Swage span &gt;=40.5mm (vs standard 39)"
By plan_type:
  TIN                                 74/113   =  65.5%
  TB2B                                 0/81    =   0.0%
By frame_type:
  Truss                               72/192   =  37.5%</t>
        </is>
      </c>
      <c r="J83" s="6" t="inlineStr">
        <is>
          <t>HG260044
GF-TIN-70.075
frame PC2-1
stick R3</t>
        </is>
      </c>
      <c r="K83" s="2" t="inlineStr">
        <is>
          <t>Same as rule 80.</t>
        </is>
      </c>
      <c r="L83" s="2" t="inlineStr">
        <is>
          <t>194 sticks / 56 pairs</t>
        </is>
      </c>
      <c r="M83" s="2" t="inlineStr">
        <is>
          <t>small</t>
        </is>
      </c>
      <c r="N83" s="2" t="inlineStr">
        <is>
          <t>Same as rule 80 — mirror at end.</t>
        </is>
      </c>
      <c r="O83" s="9" t="inlineStr">
        <is>
          <t xml:space="preserve">THE RULE SHOULD FIRE WHEN: 
THE VALUES ARE: 
IT SHOULD NOT FIRE WHEN: 
WHY (physical reason): </t>
        </is>
      </c>
      <c r="P83" s="7">
        <f>HYPERLINK("file:///C:/Users/Scott/CLAUDE CODE/hytek-rfy-codec/docs/rule-pdfs/rule-82.pdf","rule-82.pdf")</f>
        <v/>
      </c>
      <c r="Q83" s="7">
        <f>HYPERLINK("file:///Y:/(17) 2026 HYTEK PROJECTS/CORAL HOMES/HG260044 LOT 1810 (14) ELDERBERRY ST UPPER CABOOLTURE/06 MANUFACTURING/02 DRAWINGS MANUFACTURING/01 LGS/HG260044 LOT 1810 (14) ELDERBERRY ST UPPER CABOOLTURE-GF-TIN-70.075.pdf","HG260044 LOT 1810 (14) ELDERBERRY ST UPPER CABOOLT")</f>
        <v/>
      </c>
      <c r="R83" s="2" t="inlineStr"/>
      <c r="S83" s="7">
        <f>HYPERLINK("file:///Y:/(17) 2026 HYTEK PROJECTS/CORAL HOMES/HG260044 LOT 1810 (14) ELDERBERRY ST UPPER CABOOLTURE/03 DETAILING/03 FRAMECAD DETAILER/HG260044 LOT 1810 (14) ELDERBERRY ST UPPER CABOOLTURE.fcp","HG260044 LOT 1810 (14) ELDERBERRY ST UPPER CABOOLT")</f>
        <v/>
      </c>
      <c r="T83" s="7">
        <f>HYPERLINK("file:///Y:/(17) 2026 HYTEK PROJECTS/CORAL HOMES/HG260044 LOT 1810 (14) ELDERBERRY ST UPPER CABOOLTURE/03 DETAILING/03 FRAMECAD DETAILER/01 XML OUTPUT/HG260044 LOT 1810 (14) ELDERBERRY ST UPPER CABOOLTURE-GF-TIN-70.075.xml","HG260044 LOT 1810 (14) ELDERBERRY ST UPPER CABOOLT")</f>
        <v/>
      </c>
    </row>
    <row r="84" ht="140" customHeight="1">
      <c r="A84" s="2" t="n">
        <v>83</v>
      </c>
      <c r="B84" s="2" t="inlineStr">
        <is>
          <t>N</t>
        </is>
      </c>
      <c r="C84" s="2" t="inlineStr">
        <is>
          <t>Crossings: plate over stud</t>
        </is>
      </c>
      <c r="D84" s="2" t="inlineStr">
        <is>
          <t>All</t>
        </is>
      </c>
      <c r="E84" s="2" t="inlineStr">
        <is>
          <t>Stud crosses plate</t>
        </is>
      </c>
      <c r="F84" s="2" t="inlineStr">
        <is>
          <t>Plate gets LipNotch + InnerDimple at every stud's x-coord</t>
        </is>
      </c>
      <c r="G84" s="8" t="inlineStr">
        <is>
          <t>No</t>
        </is>
      </c>
      <c r="H84" s="2" t="inlineStr"/>
      <c r="I84" s="2" t="inlineStr"/>
      <c r="J84" s="6" t="inlineStr">
        <is>
          <t>HG260002
GF-RP-70.075
frame R1
stick T1</t>
        </is>
      </c>
      <c r="K84" s="2" t="inlineStr">
        <is>
          <t>At a stud-plate crossing, what tool does Detailer emit on the plate (LipNotch / InnerNotch / Web)? What's the discriminator?</t>
        </is>
      </c>
      <c r="L84" s="2" t="inlineStr">
        <is>
          <t>13,169 sticks / 381 pairs</t>
        </is>
      </c>
      <c r="M84" s="2" t="inlineStr">
        <is>
          <t>moderate</t>
        </is>
      </c>
      <c r="N84" s="2" t="inlineStr">
        <is>
          <t>WHAT WE EMIT: Where a stud crosses a top or bottom plate, the plate gets a LipNotch (39mm spanned) + InnerDimple at the stud's x-coordinate. Position is computed from each stick's outline corners (the elevation graphics in the XML).
WHAT DETAILER DOES: Position is mostly RIGHT (within ~5mm). The TOOL TYPE is sometimes wrong on RP plans — Detailer uses InnerNotch where we use LipNotch, or Web where we use neither.
WHAT I NEED FROM YOU: At a stud-plate crossing, what tool does Detailer emit and what determines the type? Always LipNotch on T/B? Or does the stud type (Kb vs S) flip it? Plan-type-specific?</t>
        </is>
      </c>
      <c r="O84" s="9" t="inlineStr">
        <is>
          <t xml:space="preserve">THE RULE SHOULD FIRE WHEN: 
THE VALUES ARE: 
IT SHOULD NOT FIRE WHEN: 
WHY (physical reason): </t>
        </is>
      </c>
      <c r="P84" s="7">
        <f>HYPERLINK("file:///C:/Users/Scott/CLAUDE CODE/hytek-rfy-codec/docs/rule-pdfs/rule-83.pdf","rule-83.pdf")</f>
        <v/>
      </c>
      <c r="Q84" s="7">
        <f>HYPERLINK("file:///Y:/(17) 2026 HYTEK PROJECTS/BOWE PROJECTS/HG260002 5 MOSSIP COURT WELLINGTON POINT/06 MANUFACTURING/02 DRAWINGS MANUFACTURING/01 LGS/HG260002 5 MOSSIP COURT WELLINGTON POINT-GF-RP-70.075.pdf","HG260002 5 MOSSIP COURT WELLINGTON POINT-GF-RP-70.")</f>
        <v/>
      </c>
      <c r="R84" s="2" t="inlineStr"/>
      <c r="S84" s="7">
        <f>HYPERLINK("file:///Y:/(17) 2026 HYTEK PROJECTS/BOWE PROJECTS/HG260002 5 MOSSIP COURT WELLINGTON POINT/03 DETAILING/03 FRAMECAD DETAILER/HG260002 5 MOSSIP COURT WELLINGTON POINT.fcp","HG260002 5 MOSSIP COURT WELLINGTON POINT.fcp")</f>
        <v/>
      </c>
      <c r="T84" s="7">
        <f>HYPERLINK("file:///Y:/(17) 2026 HYTEK PROJECTS/BOWE PROJECTS/HG260002 5 MOSSIP COURT WELLINGTON POINT/03 DETAILING/03 FRAMECAD DETAILER/01 XML OUTPUT/HG260002 5 MOSSIP COURT WELLINGTON POINT-GF-RP-70.075.xml","HG260002 5 MOSSIP COURT WELLINGTON POINT-GF-RP-70.")</f>
        <v/>
      </c>
    </row>
    <row r="85" ht="140" customHeight="1">
      <c r="A85" s="2" t="n">
        <v>84</v>
      </c>
      <c r="B85" s="2" t="inlineStr">
        <is>
          <t>N</t>
        </is>
      </c>
      <c r="C85" s="2" t="inlineStr">
        <is>
          <t>Crossings: stud over nog</t>
        </is>
      </c>
      <c r="D85" s="2" t="inlineStr">
        <is>
          <t>All</t>
        </is>
      </c>
      <c r="E85" s="2" t="inlineStr">
        <is>
          <t>Nog crosses stud</t>
        </is>
      </c>
      <c r="F85" s="2" t="inlineStr">
        <is>
          <t>Stud gets LipNotch + InnerDimple at every nog's y-coord</t>
        </is>
      </c>
      <c r="G85" s="8" t="inlineStr">
        <is>
          <t>No</t>
        </is>
      </c>
      <c r="H85" s="2" t="inlineStr"/>
      <c r="I85" s="2" t="inlineStr"/>
      <c r="J85" s="6" t="inlineStr">
        <is>
          <t>HG260001
GF-LBW-70.075
frame PK4-L4
stick S5</t>
        </is>
      </c>
      <c r="K85" s="2" t="inlineStr">
        <is>
          <t>At a nog-stud crossing, what tool does Detailer emit on the stud?</t>
        </is>
      </c>
      <c r="L85" s="2" t="inlineStr">
        <is>
          <t>27,042 sticks / 236 pairs</t>
        </is>
      </c>
      <c r="M85" s="2" t="inlineStr">
        <is>
          <t>small</t>
        </is>
      </c>
      <c r="N85" s="2" t="inlineStr">
        <is>
          <t>Same kind of issue as rule 83 — at a nog-stud crossing, what tool does Detailer put on the stud?</t>
        </is>
      </c>
      <c r="O85" s="9" t="inlineStr">
        <is>
          <t xml:space="preserve">THE RULE SHOULD FIRE WHEN: 
THE VALUES ARE: 
IT SHOULD NOT FIRE WHEN: 
WHY (physical reason): </t>
        </is>
      </c>
      <c r="P85" s="7">
        <f>HYPERLINK("file:///C:/Users/Scott/CLAUDE CODE/hytek-rfy-codec/docs/rule-pdfs/rule-84.pdf","rule-84.pdf")</f>
        <v/>
      </c>
      <c r="Q85" s="7">
        <f>HYPERLINK("file:///Y:/(17) 2026 HYTEK PROJECTS/CORAL HOMES/HG260001 LOT 289 (29) COORA CRESENT CURRIMUNDI/06 MANUFACTURING/02 DRAWINGS MANUFACTURING/01 LGS/HG260001 LOT 289 COORA CRESCENT CURRIMUNDI 4551-GF-LBW-70.075.pdf","HG260001 LOT 289 COORA CRESCENT CURRIMUNDI 4551-GF")</f>
        <v/>
      </c>
      <c r="R85" s="7">
        <f>HYPERLINK("file:///Y:/(17) 2026 HYTEK PROJECTS/CORAL HOMES/HG260001 LOT 289 (29) COORA CRESENT CURRIMUNDI/01 PROJECT DOCUMENTATION/02 CURRENT DOCS/01 PDF/CONSTRUCTION DETAILS.pdf","CONSTRUCTION DETAILS.pdf")</f>
        <v/>
      </c>
      <c r="S85" s="7">
        <f>HYPERLINK("file:///Y:/(17) 2026 HYTEK PROJECTS/CORAL HOMES/HG260001 LOT 289 (29) COORA CRESENT CURRIMUNDI/03 DETAILING/03 FRAMECAD DETAILER/HG260001 LOT 289 (29) COORA CRESENT CURRIMUNDI.fcp","HG260001 LOT 289 (29) COORA CRESENT CURRIMUNDI.fcp")</f>
        <v/>
      </c>
      <c r="T85" s="7">
        <f>HYPERLINK("file:///Y:/(17) 2026 HYTEK PROJECTS/CORAL HOMES/HG260001 LOT 289 (29) COORA CRESENT CURRIMUNDI/03 DETAILING/03 FRAMECAD DETAILER/01 XML OUTPUT/HG260001 LOT 289 COORA CRESCENT CURRIMUNDI 4551-GF-LBW-70.075.xml","HG260001 LOT 289 COORA CRESCENT CURRIMUNDI 4551-GF")</f>
        <v/>
      </c>
    </row>
    <row r="86" ht="140" customHeight="1">
      <c r="A86" s="2" t="n">
        <v>85</v>
      </c>
      <c r="B86" s="2" t="inlineStr">
        <is>
          <t>N</t>
        </is>
      </c>
      <c r="C86" s="2" t="inlineStr">
        <is>
          <t>Crossings: nog over stud</t>
        </is>
      </c>
      <c r="D86" s="2" t="inlineStr">
        <is>
          <t>All</t>
        </is>
      </c>
      <c r="E86" s="2" t="inlineStr">
        <is>
          <t>Stud crosses nog</t>
        </is>
      </c>
      <c r="F86" s="2" t="inlineStr">
        <is>
          <t>Nog gets Web + LipNotch + InnerDimple at every stud's x-coord</t>
        </is>
      </c>
      <c r="G86" s="8" t="inlineStr">
        <is>
          <t>No</t>
        </is>
      </c>
      <c r="H86" s="2" t="inlineStr"/>
      <c r="I86" s="2" t="inlineStr"/>
      <c r="J86" s="6" t="inlineStr">
        <is>
          <t>HG260001
GF-LBW-70.075
frame PK4-L4
stick N1</t>
        </is>
      </c>
      <c r="K86" s="2" t="inlineStr">
        <is>
          <t>At a stud-nog crossing, do all three (Web + LipNotch + InnerDimple) always fire?</t>
        </is>
      </c>
      <c r="L86" s="2" t="inlineStr">
        <is>
          <t>6,679 sticks / 219 pairs</t>
        </is>
      </c>
      <c r="M86" s="2" t="inlineStr">
        <is>
          <t>small</t>
        </is>
      </c>
      <c r="N86" s="2" t="inlineStr">
        <is>
          <t>Same kind of issue as rule 83 — at a stud-nog crossing, do all three (Web + LipNotch + InnerDimple) always fire, or do some plans/configurations skip?</t>
        </is>
      </c>
      <c r="O86" s="9" t="inlineStr">
        <is>
          <t xml:space="preserve">THE RULE SHOULD FIRE WHEN: 
THE VALUES ARE: 
IT SHOULD NOT FIRE WHEN: 
WHY (physical reason): </t>
        </is>
      </c>
      <c r="P86" s="7">
        <f>HYPERLINK("file:///C:/Users/Scott/CLAUDE CODE/hytek-rfy-codec/docs/rule-pdfs/rule-85.pdf","rule-85.pdf")</f>
        <v/>
      </c>
      <c r="Q86" s="7">
        <f>HYPERLINK("file:///Y:/(17) 2026 HYTEK PROJECTS/CORAL HOMES/HG260001 LOT 289 (29) COORA CRESENT CURRIMUNDI/06 MANUFACTURING/02 DRAWINGS MANUFACTURING/01 LGS/HG260001 LOT 289 COORA CRESCENT CURRIMUNDI 4551-GF-LBW-70.075.pdf","HG260001 LOT 289 COORA CRESCENT CURRIMUNDI 4551-GF")</f>
        <v/>
      </c>
      <c r="R86" s="7">
        <f>HYPERLINK("file:///Y:/(17) 2026 HYTEK PROJECTS/CORAL HOMES/HG260001 LOT 289 (29) COORA CRESENT CURRIMUNDI/01 PROJECT DOCUMENTATION/02 CURRENT DOCS/01 PDF/CONSTRUCTION DETAILS.pdf","CONSTRUCTION DETAILS.pdf")</f>
        <v/>
      </c>
      <c r="S86" s="7">
        <f>HYPERLINK("file:///Y:/(17) 2026 HYTEK PROJECTS/CORAL HOMES/HG260001 LOT 289 (29) COORA CRESENT CURRIMUNDI/03 DETAILING/03 FRAMECAD DETAILER/HG260001 LOT 289 (29) COORA CRESENT CURRIMUNDI.fcp","HG260001 LOT 289 (29) COORA CRESENT CURRIMUNDI.fcp")</f>
        <v/>
      </c>
      <c r="T86" s="7">
        <f>HYPERLINK("file:///Y:/(17) 2026 HYTEK PROJECTS/CORAL HOMES/HG260001 LOT 289 (29) COORA CRESENT CURRIMUNDI/03 DETAILING/03 FRAMECAD DETAILER/01 XML OUTPUT/HG260001 LOT 289 COORA CRESCENT CURRIMUNDI 4551-GF-LBW-70.075.xml","HG260001 LOT 289 COORA CRESCENT CURRIMUNDI 4551-GF")</f>
        <v/>
      </c>
    </row>
    <row r="87" ht="252" customHeight="1">
      <c r="A87" s="2" t="n">
        <v>86</v>
      </c>
      <c r="B87" s="2" t="inlineStr">
        <is>
          <t>N</t>
        </is>
      </c>
      <c r="C87" s="2" t="inlineStr">
        <is>
          <t>Crossings: truss panel-points</t>
        </is>
      </c>
      <c r="D87" s="2" t="inlineStr">
        <is>
          <t>All</t>
        </is>
      </c>
      <c r="E87" s="2" t="inlineStr">
        <is>
          <t>Web stick projects onto chord</t>
        </is>
      </c>
      <c r="F87" s="2" t="inlineStr">
        <is>
          <t>NOT EMITTED — paired InnerDimples + 47mm-wide LipNotch</t>
        </is>
      </c>
      <c r="G87" s="4" t="inlineStr">
        <is>
          <t>Spec'd</t>
        </is>
      </c>
      <c r="H87" s="2" t="inlineStr">
        <is>
          <t>fc-dat-rules.ts: cenCenWbHole + bcDistCenHole + webIncrements + horizChdCenHole (per-profile)
Implement panel-point detector: for each Web stick endpoint, project onto the chord centerline. Emit paired InnerDimples at +/- bcDistCenHole (50mm for 70mm normal-axis, 45mm for 89mm) and a LipNotch perpendicular to the chord. Suppress if two panel-points are within cenCenWbHole=120mm.</t>
        </is>
      </c>
      <c r="I87" s="5" t="inlineStr">
        <is>
          <t>MINED FROM 2,461 STICKS — overall 67.7% match
"Truss chord has panel-point dimples (&gt;2 InnerDimple per metre)"
By plan_type:
  TIN                               1251/1318  =  94.9%
  TB2B                                45/773   =   5.8%
  FJ                                 370/370   = 100.0%
By frame_type:
  Truss                             1288/2083  =  61.8%
  Joist                              370/370   = 100.0%
  Miscellaneous                        8/8     = 100.0%</t>
        </is>
      </c>
      <c r="J87" s="6" t="inlineStr">
        <is>
          <t>HG250011
GF-TIN-70.075
frame PC1-1
stick T2</t>
        </is>
      </c>
      <c r="K87" s="2" t="inlineStr">
        <is>
          <t>(see Source col)</t>
        </is>
      </c>
      <c r="L87" s="2" t="inlineStr">
        <is>
          <t>2,091 sticks / 141 pairs</t>
        </is>
      </c>
      <c r="M87" s="2" t="inlineStr">
        <is>
          <t>+13pp on TIN (BIGGEST single gap)</t>
        </is>
      </c>
      <c r="N87" s="2" t="inlineStr"/>
      <c r="O87" s="2" t="inlineStr"/>
      <c r="P87" s="7">
        <f>HYPERLINK("file:///C:/Users/Scott/CLAUDE CODE/hytek-rfy-codec/docs/rule-pdfs/rule-86.pdf","rule-86.pdf")</f>
        <v/>
      </c>
      <c r="Q87" s="7">
        <f>HYPERLINK("file:///Y:/(14) 2025 HYTEK PROJECTS/CORAL HOMES/HG250011 LOT 57 (5) NEVIS COURT D'AGUILAR/06 MANUFACTURING/02 DRAWINGS MANUFACTURING/01 LGS/SS 20250801/HG250011 LOT 57 (5) NEVIS COURT D AGUILAR Rev 1-GF-TIN-70.075.pdf","HG250011 LOT 57 (5) NEVIS COURT D AGUILAR Rev 1-GF")</f>
        <v/>
      </c>
      <c r="R87" s="7">
        <f>HYPERLINK("file:///Y:/(14) 2025 HYTEK PROJECTS/CORAL HOMES/HG250011 LOT 57 (5) NEVIS COURT D'AGUILAR/01 PROJECT DOCUMENTATION/02 CURRENT DOCS/01 PDF/CONSTRUCTION DETAILS.pdf","CONSTRUCTION DETAILS.pdf")</f>
        <v/>
      </c>
      <c r="S87" s="7">
        <f>HYPERLINK("file:///Y:/(14) 2025 HYTEK PROJECTS/CORAL HOMES/HG250011 LOT 57 (5) NEVIS COURT D'AGUILAR/03 DETAILING/03 FRAMECAD DETAILER/HG250011 LOT 57 (5) NEVIS COURT D AGUILAR Rev 1.fcp","HG250011 LOT 57 (5) NEVIS COURT D AGUILAR Rev 1.fc")</f>
        <v/>
      </c>
      <c r="T87" s="7">
        <f>HYPERLINK("file:///Y:/(14) 2025 HYTEK PROJECTS/CORAL HOMES/HG250011 LOT 57 (5) NEVIS COURT D'AGUILAR/03 DETAILING/03 FRAMECAD DETAILER/01 XML OUTPUT/HG250011 LOT 57 (5) NEVIS COURT D AGUILAR Rev 1-GF-TIN-70.075.xml","HG250011 LOT 57 (5) NEVIS COURT D AGUILAR Rev 1-GF")</f>
        <v/>
      </c>
    </row>
    <row r="88" ht="234" customHeight="1">
      <c r="A88" s="2" t="n">
        <v>87</v>
      </c>
      <c r="B88" s="2" t="inlineStr">
        <is>
          <t>O</t>
        </is>
      </c>
      <c r="C88" s="2" t="inlineStr">
        <is>
          <t>Simplifier: simplify-rp.ts</t>
        </is>
      </c>
      <c r="D88" s="2" t="inlineStr">
        <is>
          <t>All</t>
        </is>
      </c>
      <c r="E88" s="2" t="inlineStr">
        <is>
          <t>-RP- plans</t>
        </is>
      </c>
      <c r="F88" s="2" t="inlineStr">
        <is>
          <t>Rewrites caps to chord-style on T/B/N + plate-over-plate on S</t>
        </is>
      </c>
      <c r="G88" s="8" t="inlineStr">
        <is>
          <t>No</t>
        </is>
      </c>
      <c r="H88" s="2" t="inlineStr"/>
      <c r="I88" s="5" t="inlineStr">
        <is>
          <t>MINED FROM 1,154 STICKS — overall 1.2% match
"RP T-plate has stud-style cap (Dimple@78.5) — opposite of chord-style"
By frame_type:
  RoofPanel                           14/1154  =   1.2%
By (plan_type, gauge):
  RP/0.75                              4/1071  =   0.4%
  RP/0.95                             10/76    =  13.2%
  RP/1.15                              0/7     =   0.0%</t>
        </is>
      </c>
      <c r="J88" s="6" t="inlineStr">
        <is>
          <t>HG260006
GF-RP-70.075
frame R1
stick T1</t>
        </is>
      </c>
      <c r="K88" s="2" t="inlineStr">
        <is>
          <t>What discriminates an RP frame that gets chord-style caps vs one that gets stud-style caps?</t>
        </is>
      </c>
      <c r="L88" s="2" t="inlineStr">
        <is>
          <t>7,601 sticks / 50 pairs</t>
        </is>
      </c>
      <c r="M88" s="2" t="inlineStr">
        <is>
          <t>moderate (~+8pp on RP)</t>
        </is>
      </c>
      <c r="N88" s="2" t="inlineStr">
        <is>
          <t>WHAT WE EMIT: For RP plans, the simplifier rewrites T/B/N plate caps to chord-style (Chamfer + ID@10) and S studs to plate-over-plate notch (Swage 56..101 + ID@78.5).
WHAT DETAILER DOES: HALF the 50-pair RP corpus uses chord-style caps (matches our simplifier). The OTHER HALF uses STUD-STYLE caps on T/B/N (LipNotch 56..101 + ID@78.5 + ID@170.5...). Same letter, same plan type, different cap regime. Our simplifier helps the first group by 15+pp; HURTS the second by up to 36pp.
EXAMPLES: HG260001 GF-RP-70.075 has chord-style T plates (we help). HG260006 GF-RP-70.075 has stud-style T plates (we hurt — 33%-&gt;69% if disabled).
MY HYPOTHESES: (a) edge of panel vs middle, (b) single-bay vs multi-bay, (c) frame skew angle, (d) some XML attribute we don't read.
WHAT I NEED FROM YOU: What physically separates an RP frame that gets chord-style caps from one that gets stud-style?</t>
        </is>
      </c>
      <c r="O88" s="9" t="inlineStr">
        <is>
          <t xml:space="preserve">THE RULE SHOULD FIRE WHEN: 
THE VALUES ARE: 
IT SHOULD NOT FIRE WHEN: 
WHY (physical reason): </t>
        </is>
      </c>
      <c r="P88" s="7">
        <f>HYPERLINK("file:///C:/Users/Scott/CLAUDE CODE/hytek-rfy-codec/docs/rule-pdfs/rule-87.pdf","rule-87.pdf")</f>
        <v/>
      </c>
      <c r="Q88" s="7">
        <f>HYPERLINK("file:///Y:/(17) 2026 HYTEK PROJECTS/BRISBANE HOMES/HG260006 LOT 13 (432) BECKETT ROAD BRIDGEMAN DOWNS/06 MANUFACTURING/06 REWORK/HG260006-001 - ROOF PANELS AND TRUSS/02 LAYOUTS/HG260006 LOT 13 (433) BECKETT ROAD BRIDGEMAN DOWNS-GF-RP-70.075.pdf","HG260006 LOT 13 (433) BECKETT ROAD BRIDGEMAN DOWNS")</f>
        <v/>
      </c>
      <c r="R88" s="2" t="inlineStr"/>
      <c r="S88" s="7">
        <f>HYPERLINK("file:///Y:/(17) 2026 HYTEK PROJECTS/BRISBANE HOMES/HG260006 LOT 13 (432) BECKETT ROAD BRIDGEMAN DOWNS/03 DETAILING/03 FRAMECAD DETAILER/HG260006 LOT 13 (433) BECKETT ROAD BRIDGEMAN DOWNS REWORK.fcp","HG260006 LOT 13 (433) BECKETT ROAD BRIDGEMAN DOWNS")</f>
        <v/>
      </c>
      <c r="T88" s="7">
        <f>HYPERLINK("file:///Y:/(17) 2026 HYTEK PROJECTS/BRISBANE HOMES/HG260006 LOT 13 (432) BECKETT ROAD BRIDGEMAN DOWNS/03 DETAILING/03 FRAMECAD DETAILER/01 XML OUTPUT/HG260006 LOT 13 (433) BECKETT ROAD BRIDGEMAN DOWNS-GF-RP-70.075.xml","HG260006 LOT 13 (433) BECKETT ROAD BRIDGEMAN DOWNS")</f>
        <v/>
      </c>
    </row>
    <row r="89" ht="22" customHeight="1">
      <c r="A89" s="2" t="n">
        <v>88</v>
      </c>
      <c r="B89" s="2" t="inlineStr">
        <is>
          <t>O</t>
        </is>
      </c>
      <c r="C89" s="2" t="inlineStr">
        <is>
          <t>Simplifier: simplify-tin-truss.ts</t>
        </is>
      </c>
      <c r="D89" s="2" t="inlineStr">
        <is>
          <t>All</t>
        </is>
      </c>
      <c r="E89" s="2" t="inlineStr">
        <is>
          <t>-TIN- plans</t>
        </is>
      </c>
      <c r="F89" s="2" t="inlineStr">
        <is>
          <t>H-stick LipNotch-&gt;Swage substitution</t>
        </is>
      </c>
      <c r="G89" s="3" t="inlineStr">
        <is>
          <t>Yes</t>
        </is>
      </c>
      <c r="H89" s="2" t="inlineStr"/>
      <c r="I89" s="2" t="inlineStr"/>
      <c r="J89" s="2" t="inlineStr"/>
      <c r="K89" s="2" t="inlineStr"/>
      <c r="L89" s="2" t="inlineStr">
        <is>
          <t>—</t>
        </is>
      </c>
      <c r="M89" s="2" t="inlineStr">
        <is>
          <t>—</t>
        </is>
      </c>
      <c r="N89" s="2" t="inlineStr"/>
      <c r="O89" s="2" t="inlineStr"/>
      <c r="P89" s="2" t="inlineStr"/>
      <c r="Q89" s="2" t="inlineStr"/>
      <c r="R89" s="2" t="inlineStr"/>
      <c r="S89" s="2" t="inlineStr"/>
      <c r="T89" s="2" t="inlineStr"/>
    </row>
    <row r="90" ht="98" customHeight="1">
      <c r="A90" s="2" t="n">
        <v>89</v>
      </c>
      <c r="B90" s="2" t="inlineStr">
        <is>
          <t>O</t>
        </is>
      </c>
      <c r="C90" s="2" t="inlineStr">
        <is>
          <t>Simplifier: simplify-tb2b-truss.ts</t>
        </is>
      </c>
      <c r="D90" s="2" t="inlineStr">
        <is>
          <t>All</t>
        </is>
      </c>
      <c r="E90" s="2" t="inlineStr">
        <is>
          <t>-TB2B- + frame=Truss</t>
        </is>
      </c>
      <c r="F90" s="2" t="inlineStr">
        <is>
          <t>TB2B truss frame cap rewrites</t>
        </is>
      </c>
      <c r="G90" s="4" t="inlineStr">
        <is>
          <t>Spec'd</t>
        </is>
      </c>
      <c r="H90" s="2" t="inlineStr">
        <is>
          <t>docs/tb2b-patch-audit.md (14 patches catalogued)
Port 14 patches from scripts/diff-vs-detailer.mjs to src/. Each is documented in tb2b-patch-audit.md with line refs (Web@pt rewrite, box-piece InnerDimple, R-rail short-cap, H4/H7 cap-stacks, T-chord end-cap bolts). Currently TB2B is at 1.34% production parity, 82% with these patches in the harness.</t>
        </is>
      </c>
      <c r="I90" s="2" t="inlineStr"/>
      <c r="J90" s="6" t="inlineStr">
        <is>
          <t>HG260001
GF-TB2B-70.075
frame TN6-6
stick T4</t>
        </is>
      </c>
      <c r="K90" s="2" t="inlineStr">
        <is>
          <t>(see Source col)</t>
        </is>
      </c>
      <c r="L90" s="2" t="inlineStr">
        <is>
          <t>3,617 sticks / 52 pairs</t>
        </is>
      </c>
      <c r="M90" s="2" t="inlineStr">
        <is>
          <t>unknown</t>
        </is>
      </c>
      <c r="N90" s="2" t="inlineStr"/>
      <c r="O90" s="2" t="inlineStr"/>
      <c r="P90" s="7">
        <f>HYPERLINK("file:///C:/Users/Scott/CLAUDE CODE/hytek-rfy-codec/docs/rule-pdfs/rule-89.pdf","rule-89.pdf")</f>
        <v/>
      </c>
      <c r="Q90" s="7">
        <f>HYPERLINK("file:///Y:/(17) 2026 HYTEK PROJECTS/CORAL HOMES/HG260001 LOT 289 (29) COORA CRESENT CURRIMUNDI/06 MANUFACTURING/02 DRAWINGS MANUFACTURING/01 LGS/HG260001 LOT 289 COORA CRESCENT CURRIMUNDI 4551-GF-TB2B-70.075.pdf","HG260001 LOT 289 COORA CRESCENT CURRIMUNDI 4551-GF")</f>
        <v/>
      </c>
      <c r="R90" s="7">
        <f>HYPERLINK("file:///Y:/(17) 2026 HYTEK PROJECTS/CORAL HOMES/HG260001 LOT 289 (29) COORA CRESENT CURRIMUNDI/01 PROJECT DOCUMENTATION/02 CURRENT DOCS/01 PDF/CONSTRUCTION DETAILS.pdf","CONSTRUCTION DETAILS.pdf")</f>
        <v/>
      </c>
      <c r="S90" s="7">
        <f>HYPERLINK("file:///Y:/(17) 2026 HYTEK PROJECTS/CORAL HOMES/HG260001 LOT 289 (29) COORA CRESENT CURRIMUNDI/03 DETAILING/03 FRAMECAD DETAILER/HG260001 LOT 289 (29) COORA CRESENT CURRIMUNDI.fcp","HG260001 LOT 289 (29) COORA CRESENT CURRIMUNDI.fcp")</f>
        <v/>
      </c>
      <c r="T90" s="7">
        <f>HYPERLINK("file:///Y:/(17) 2026 HYTEK PROJECTS/CORAL HOMES/HG260001 LOT 289 (29) COORA CRESENT CURRIMUNDI/03 DETAILING/03 FRAMECAD DETAILER/01 XML OUTPUT/HG260001 LOT 289 COORA CRESCENT CURRIMUNDI 4551-GF-TB2B-70.075.xml","HG260001 LOT 289 COORA CRESCENT CURRIMUNDI 4551-GF")</f>
        <v/>
      </c>
    </row>
    <row r="91" ht="80" customHeight="1">
      <c r="A91" s="2" t="n">
        <v>90</v>
      </c>
      <c r="B91" s="2" t="inlineStr">
        <is>
          <t>O</t>
        </is>
      </c>
      <c r="C91" s="2" t="inlineStr">
        <is>
          <t>Simplifier: simplify-linear-truss.ts</t>
        </is>
      </c>
      <c r="D91" s="2" t="inlineStr">
        <is>
          <t>All</t>
        </is>
      </c>
      <c r="E91" s="2" t="inlineStr">
        <is>
          <t>-LIN- plans</t>
        </is>
      </c>
      <c r="F91" s="2" t="inlineStr">
        <is>
          <t>Bolt-hole pattern at every web-chord crossing</t>
        </is>
      </c>
      <c r="G91" s="4" t="inlineStr">
        <is>
          <t>Spec'd</t>
        </is>
      </c>
      <c r="H91" s="2" t="inlineStr">
        <is>
          <t>fc-dat-rules.ts: profile-2 (Linear) constants
Linear-truss profile has shortenDblesWb=-50, endWbSetback=50, kpTruncated=90 (vs 0 for STD). Rewire src/simplify-linear-truss.ts to read these from fc-dat-rules.ts instead of hardcoded values.</t>
        </is>
      </c>
      <c r="I91" s="2" t="inlineStr"/>
      <c r="J91" s="6" t="inlineStr">
        <is>
          <t>HG260043
GF-RP-89.115
frame R1
stick T1</t>
        </is>
      </c>
      <c r="K91" s="2" t="inlineStr">
        <is>
          <t>(see Source col)</t>
        </is>
      </c>
      <c r="L91" s="2" t="inlineStr">
        <is>
          <t>0 sticks / 0 pairs</t>
        </is>
      </c>
      <c r="M91" s="2" t="inlineStr">
        <is>
          <t>unknown</t>
        </is>
      </c>
      <c r="N91" s="2" t="inlineStr"/>
      <c r="O91" s="2" t="inlineStr"/>
      <c r="P91" s="7">
        <f>HYPERLINK("file:///C:/Users/Scott/CLAUDE CODE/hytek-rfy-codec/docs/rule-pdfs/rule-90.pdf","rule-90.pdf")</f>
        <v/>
      </c>
      <c r="Q91" s="7">
        <f>HYPERLINK("file:///Y:/(17) 2026 HYTEK PROJECTS/POWERHOUSE SWITCHROOMS/HG260043 ELLIOT PUMP STATION/06 MANUFACTURING/02 DRAWINGS MANUFACTURING/01 LGS/HG260043 ELLIOT PUMP STATION [C]-GF-RP-89.115.pdf","HG260043 ELLIOT PUMP STATION [C]-GF-RP-89.115.pdf")</f>
        <v/>
      </c>
      <c r="R91" s="2" t="inlineStr"/>
      <c r="S91" s="7">
        <f>HYPERLINK("file:///Y:/(17) 2026 HYTEK PROJECTS/POWERHOUSE SWITCHROOMS/HG260043 ELLIOT PUMP STATION/03 DETAILING/03 FRAMECAD DETAILER/HG260043 ELLIOT PUMP STATION [C].fcp","HG260043 ELLIOT PUMP STATION [C].fcp")</f>
        <v/>
      </c>
      <c r="T91" s="7">
        <f>HYPERLINK("file:///Y:/(17) 2026 HYTEK PROJECTS/POWERHOUSE SWITCHROOMS/HG260043 ELLIOT PUMP STATION/03 DETAILING/03 FRAMECAD DETAILER/01 XML OUTPUT/HG260043 ELLIOT PUMP STATION [C]-GF-RP-89.115.xml","HG260043 ELLIOT PUMP STATION [C]-GF-RP-89.115.xml")</f>
        <v/>
      </c>
    </row>
    <row r="92" ht="238" customHeight="1">
      <c r="A92" s="2" t="n">
        <v>91</v>
      </c>
      <c r="B92" s="2" t="inlineStr">
        <is>
          <t>O</t>
        </is>
      </c>
      <c r="C92" s="2" t="inlineStr">
        <is>
          <t>Simplifier: simplify-wall-service.ts</t>
        </is>
      </c>
      <c r="D92" s="2" t="inlineStr">
        <is>
          <t>All</t>
        </is>
      </c>
      <c r="E92" s="2" t="inlineStr">
        <is>
          <t>-LBW-/-NLBW- plans</t>
        </is>
      </c>
      <c r="F92" s="2" t="inlineStr">
        <is>
          <t>InnerService holes on wall studs</t>
        </is>
      </c>
      <c r="G92" s="4" t="inlineStr">
        <is>
          <t>Spec'd</t>
        </is>
      </c>
      <c r="H92" s="2" t="inlineStr">
        <is>
          <t>docs/service-z-line-design.md
Replace blind 'fire InnerService on every wall stud &gt;=500mm' with per-stud z-line projection. Bimodal behaviour disappears when each stud only emits ops for the lines that actually cross it.</t>
        </is>
      </c>
      <c r="I92"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92" s="6" t="inlineStr">
        <is>
          <t>HG260010
GF-LBW-70.075
frame L39
stick S7</t>
        </is>
      </c>
      <c r="K92" s="2" t="inlineStr">
        <is>
          <t>(see Source col)</t>
        </is>
      </c>
      <c r="L92" s="2" t="inlineStr">
        <is>
          <t>22,413 sticks / 170 pairs</t>
        </is>
      </c>
      <c r="M92" s="2" t="inlineStr">
        <is>
          <t>moderate</t>
        </is>
      </c>
      <c r="N92" s="2" t="inlineStr"/>
      <c r="O92" s="2" t="inlineStr"/>
      <c r="P92" s="7">
        <f>HYPERLINK("file:///C:/Users/Scott/CLAUDE CODE/hytek-rfy-codec/docs/rule-pdfs/rule-91.pdf","rule-91.pdf")</f>
        <v/>
      </c>
      <c r="Q92" s="7">
        <f>HYPERLINK("file:///Y:/(17) 2026 HYTEK PROJECTS/CORAL HOMES/HG260010 LOT 11 (2) SUNVIEW PLACE SAMFORD VALLEY/06 MANUFACTURING/02 DRAWINGS MANUFACTURING/01 LGS/HG260010 LOT 11 SUNVIEW PLACE SAMFORD VALLEY-GF-LBW-70.075.pdf","HG260010 LOT 11 SUNVIEW PLACE SAMFORD VALLEY-GF-LB")</f>
        <v/>
      </c>
      <c r="R92" s="7">
        <f>HYPERLINK("file:///Y:/(17) 2026 HYTEK PROJECTS/CORAL HOMES/HG260010 LOT 11 (2) SUNVIEW PLACE SAMFORD VALLEY/01 PROJECT DOCUMENTATION/02 CURRENT DOCS/01 PDF/AC LAYOUT.pdf","AC LAYOUT.pdf")</f>
        <v/>
      </c>
      <c r="S92" s="7">
        <f>HYPERLINK("file:///Y:/(17) 2026 HYTEK PROJECTS/CORAL HOMES/HG260010 LOT 11 (2) SUNVIEW PLACE SAMFORD VALLEY/03 DETAILING/03 FRAMECAD DETAILER/HG260010 LOT 11 (2) SUNVIEW PLACE SAMFORD VALLEY.fcp","HG260010 LOT 11 (2) SUNVIEW PLACE SAMFORD VALLEY.f")</f>
        <v/>
      </c>
      <c r="T92" s="7">
        <f>HYPERLINK("file:///Y:/(17) 2026 HYTEK PROJECTS/CORAL HOMES/HG260010 LOT 11 (2) SUNVIEW PLACE SAMFORD VALLEY/03 DETAILING/03 FRAMECAD DETAILER/01 XML OUTPUT/HG260010 LOT 11 SUNVIEW PLACE SAMFORD VALLEY-GF-LBW-70.075.xml","HG260010 LOT 11 SUNVIEW PLACE SAMFORD VALLEY-GF-LB")</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5" customWidth="1" min="1" max="1"/>
    <col width="110" customWidth="1" min="2" max="2"/>
  </cols>
  <sheetData>
    <row r="1">
      <c r="A1" s="10" t="inlineStr">
        <is>
          <t>Codec rule review — V2</t>
        </is>
      </c>
    </row>
    <row r="3">
      <c r="A3" t="inlineStr">
        <is>
          <t>Total rules</t>
        </is>
      </c>
      <c r="B3">
        <f>COUNTA('Codec rules'!A2:A92)</f>
        <v/>
      </c>
    </row>
    <row r="4">
      <c r="A4" t="inlineStr">
        <is>
          <t>Yes — codec emits correctly today</t>
        </is>
      </c>
      <c r="B4" s="11">
        <f>COUNTIF('Codec rules'!G2:G92,"Yes")</f>
        <v/>
      </c>
    </row>
    <row r="5">
      <c r="A5" t="inlineStr">
        <is>
          <t>Spec'd — rule found, needs implementation</t>
        </is>
      </c>
      <c r="B5" s="12">
        <f>COUNTIF('Codec rules'!G2:G92,"Spec'd")</f>
        <v/>
      </c>
    </row>
    <row r="6">
      <c r="A6" t="inlineStr">
        <is>
          <t>No — rule unknown, need Scott</t>
        </is>
      </c>
      <c r="B6" s="13">
        <f>COUNTIF('Codec rules'!G2:G92,"No")</f>
        <v/>
      </c>
    </row>
    <row r="8">
      <c r="A8" s="14" t="inlineStr">
        <is>
          <t>Columns explained</t>
        </is>
      </c>
    </row>
    <row r="9">
      <c r="A9" s="15" t="inlineStr">
        <is>
          <t>Status</t>
        </is>
      </c>
      <c r="B9" t="inlineStr">
        <is>
          <t>Yes (green) = working today. Spec'd (orange) = rule found, codec needs the implementation. No (red) = rule still unknown, needs Scott.</t>
        </is>
      </c>
    </row>
    <row r="10">
      <c r="A10" s="15" t="inlineStr">
        <is>
          <t>Source / what to implement</t>
        </is>
      </c>
      <c r="B10" t="inlineStr">
        <is>
          <t>For Spec'd rows: cites the source file (machine-setups.ts, fc-dat-rules.ts, design doc) and describes what code change is needed.</t>
        </is>
      </c>
    </row>
    <row r="11">
      <c r="A11" s="15" t="inlineStr">
        <is>
          <t>Look up in Detailer</t>
        </is>
      </c>
      <c r="B11" t="inlineStr">
        <is>
          <t>Job + plan + frame label + stick name. Use this to navigate to the same stick in Detailer or in the Manufacturing PDF.</t>
        </is>
      </c>
    </row>
    <row r="12">
      <c r="A12" s="15" t="inlineStr">
        <is>
          <t>Specific question</t>
        </is>
      </c>
      <c r="B12" t="inlineStr">
        <is>
          <t>The bottom-line question I need answered, lifted out of the long-form text.</t>
        </is>
      </c>
    </row>
    <row r="13">
      <c r="A13" s="15" t="inlineStr">
        <is>
          <t>Affected (sticks / pairs)</t>
        </is>
      </c>
      <c r="B13" t="inlineStr">
        <is>
          <t>How many sticks across the 388-pair corpus this rule's gate would fire on. High count = high stakes.</t>
        </is>
      </c>
    </row>
    <row r="14">
      <c r="A14" s="15" t="inlineStr">
        <is>
          <t>Unlocks if fixed</t>
        </is>
      </c>
      <c r="B14" t="inlineStr">
        <is>
          <t>Approximate parity gain if the rule lands correctly. 'small' / 'moderate' / specific pp where known.</t>
        </is>
      </c>
    </row>
    <row r="15">
      <c r="A15" s="15" t="inlineStr">
        <is>
          <t>My uncertainty (long-form)</t>
        </is>
      </c>
      <c r="B15" t="inlineStr">
        <is>
          <t>Full context: what we emit, what Detailer does, my hypothesis, what I need.</t>
        </is>
      </c>
    </row>
    <row r="16">
      <c r="A16" s="15" t="inlineStr">
        <is>
          <t>Scott's correction</t>
        </is>
      </c>
      <c r="B16" t="inlineStr">
        <is>
          <t>Yellow cell with template scaffold — fill the blanks, that's enough for me to update the codec.</t>
        </is>
      </c>
    </row>
    <row r="17">
      <c r="A17" s="15" t="inlineStr">
        <is>
          <t>Diff PDF</t>
        </is>
      </c>
      <c r="B17" t="inlineStr">
        <is>
          <t>Codec emit (top, red = wrong-emit) vs Detailer reference (bottom, red = miss) for the example stick.</t>
        </is>
      </c>
    </row>
    <row r="18">
      <c r="A18" s="15" t="inlineStr">
        <is>
          <t>Manufacturing PDF</t>
        </is>
      </c>
      <c r="B18" t="inlineStr">
        <is>
          <t>FrameCAD-generated frame-elevation PDF for the example plan. Multi-page; scroll to the cited frame.</t>
        </is>
      </c>
    </row>
    <row r="19">
      <c r="A19" s="15" t="inlineStr">
        <is>
          <t>Architectural PDF</t>
        </is>
      </c>
      <c r="B19" t="inlineStr">
        <is>
          <t>Project plans (LBW MARKUP, SLAB DESIGN, CONSTRUCTION DETAILS, AC LAYOUT) — building context.</t>
        </is>
      </c>
    </row>
    <row r="20">
      <c r="A20" s="15" t="inlineStr">
        <is>
          <t>.fcp file</t>
        </is>
      </c>
      <c r="B20" t="inlineStr">
        <is>
          <t>Click to open the Detailer project. Navigate to the cited frame for live tooling.</t>
        </is>
      </c>
    </row>
    <row r="21">
      <c r="A21" s="15" t="inlineStr">
        <is>
          <t>Source XML</t>
        </is>
      </c>
      <c r="B21" t="inlineStr">
        <is>
          <t>Raw XML the codec receives. Inspect to see what input data we have.</t>
        </is>
      </c>
    </row>
    <row r="23">
      <c r="A23" s="14" t="inlineStr">
        <is>
          <t>How to use this workbook</t>
        </is>
      </c>
    </row>
    <row r="24">
      <c r="A24" t="inlineStr">
        <is>
          <t>1. Filter Status column to 'No' (red) — those are the rules where I genuinely need your domain knowledge.</t>
        </is>
      </c>
    </row>
    <row r="25">
      <c r="A25" t="inlineStr">
        <is>
          <t>2. For each No row: click the Diff PDF / Manufacturing PDF / Architectural PDF links to see the issue in context.</t>
        </is>
      </c>
    </row>
    <row r="26">
      <c r="A26" t="inlineStr">
        <is>
          <t>3. Read the Specific question — most are answerable in 1-2 lines.</t>
        </is>
      </c>
    </row>
    <row r="27">
      <c r="A27" t="inlineStr">
        <is>
          <t>4. Fill the yellow correction cell using the template scaffold.</t>
        </is>
      </c>
    </row>
    <row r="28">
      <c r="A28" t="inlineStr">
        <is>
          <t>5. Spec'd rows (orange) are already answered — read Source col if you want the detail. Claude implements them next.</t>
        </is>
      </c>
    </row>
    <row r="29">
      <c r="A29" t="inlineStr"/>
    </row>
    <row r="30">
      <c r="A30" s="14" t="inlineStr">
        <is>
          <t>Path to 90%+ codec parity</t>
        </is>
      </c>
    </row>
    <row r="31">
      <c r="A31" t="inlineStr">
        <is>
          <t>Current codec parity: 77.46% across 388-pair corpus.</t>
        </is>
      </c>
    </row>
    <row r="32">
      <c r="A32" t="inlineStr">
        <is>
          <t>Implementing the 15 Spec'd rules (orange): estimated +15-25pp -&gt; 90%+.</t>
        </is>
      </c>
    </row>
    <row r="33">
      <c r="A33" t="inlineStr">
        <is>
          <t>Answering the 25 No rules (red): closes the 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2026-05-07T09:31:18Z</dcterms:created>
  <dcterms:modified xmlns:dcterms="http://purl.org/dc/terms/" xmlns:xsi="http://www.w3.org/2001/XMLSchema-instance" xsi:type="dcterms:W3CDTF">2026-05-07T09:31:19Z</dcterms:modified>
</cp:coreProperties>
</file>