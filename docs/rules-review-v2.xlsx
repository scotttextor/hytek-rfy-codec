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color rgb="002E7D32"/>
      <sz val="10"/>
    </font>
    <font>
      <name val="Arial"/>
      <b val="1"/>
      <color rgb="00C62828"/>
      <sz val="10"/>
    </font>
    <font>
      <name val="Arial"/>
      <b val="1"/>
      <color rgb="00231F20"/>
      <sz val="10"/>
    </font>
    <font>
      <name val="Arial"/>
      <color rgb="001976D2"/>
      <sz val="10"/>
      <u val="single"/>
    </font>
    <font>
      <name val="Arial"/>
      <b val="1"/>
      <sz val="14"/>
    </font>
    <font>
      <name val="Arial"/>
      <b val="1"/>
      <color rgb="002E7D32"/>
    </font>
    <font>
      <name val="Arial"/>
      <b val="1"/>
      <color rgb="00C62828"/>
    </font>
    <font>
      <name val="Arial"/>
      <b val="1"/>
      <sz val="12"/>
    </font>
    <font>
      <name val="Arial"/>
      <b val="1"/>
    </font>
  </fonts>
  <fills count="7">
    <fill>
      <patternFill/>
    </fill>
    <fill>
      <patternFill patternType="gray125"/>
    </fill>
    <fill>
      <patternFill patternType="solid">
        <fgColor rgb="00231F20"/>
      </patternFill>
    </fill>
    <fill>
      <patternFill patternType="solid">
        <fgColor rgb="00C8E6C9"/>
      </patternFill>
    </fill>
    <fill>
      <patternFill patternType="solid">
        <fgColor rgb="00FFCDD2"/>
      </patternFill>
    </fill>
    <fill>
      <patternFill patternType="solid">
        <fgColor rgb="00FFF9C4"/>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6" borderId="1" applyAlignment="1" pivotButton="0" quotePrefix="0" xfId="0">
      <alignment vertical="top" wrapText="1"/>
    </xf>
    <xf numFmtId="0" fontId="2" fillId="5"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6" customWidth="1" min="3" max="3"/>
    <col width="11" customWidth="1" min="4" max="4"/>
    <col width="32" customWidth="1" min="5" max="5"/>
    <col width="42" customWidth="1" min="6" max="6"/>
    <col width="11" customWidth="1" min="7" max="7"/>
    <col width="22" customWidth="1" min="8" max="8"/>
    <col width="50" customWidth="1" min="9" max="9"/>
    <col width="18" customWidth="1" min="10" max="10"/>
    <col width="22" customWidth="1" min="11" max="11"/>
    <col width="70" customWidth="1" min="12" max="12"/>
    <col width="50" customWidth="1" min="13" max="13"/>
    <col width="22" customWidth="1" min="14" max="14"/>
    <col width="30" customWidth="1" min="15" max="15"/>
    <col width="30" customWidth="1" min="16" max="16"/>
    <col width="30" customWidth="1" min="17" max="17"/>
    <col width="30" customWidth="1" min="18" max="18"/>
  </cols>
  <sheetData>
    <row r="1" ht="50" customHeight="1">
      <c r="A1" s="1" t="inlineStr">
        <is>
          <t>#</t>
        </is>
      </c>
      <c r="B1" s="1" t="inlineStr">
        <is>
          <t>Section</t>
        </is>
      </c>
      <c r="C1" s="1" t="inlineStr">
        <is>
          <t>Stick role</t>
        </is>
      </c>
      <c r="D1" s="1" t="inlineStr">
        <is>
          <t>Profile</t>
        </is>
      </c>
      <c r="E1" s="1" t="inlineStr">
        <is>
          <t>When (gate / condition)</t>
        </is>
      </c>
      <c r="F1" s="1" t="inlineStr">
        <is>
          <t>What we emit (plain English)</t>
        </is>
      </c>
      <c r="G1" s="1" t="inlineStr">
        <is>
          <t>100% sure?</t>
        </is>
      </c>
      <c r="H1" s="1" t="inlineStr">
        <is>
          <t>Look up in Detailer (job / plan / frame / stick)</t>
        </is>
      </c>
      <c r="I1" s="1" t="inlineStr">
        <is>
          <t>Specific question</t>
        </is>
      </c>
      <c r="J1" s="1" t="inlineStr">
        <is>
          <t>Affected (sticks / pairs in 388-pair corpus)</t>
        </is>
      </c>
      <c r="K1" s="1" t="inlineStr">
        <is>
          <t>Unlocks if fixed</t>
        </is>
      </c>
      <c r="L1" s="1" t="inlineStr">
        <is>
          <t>My uncertainty (long-form)</t>
        </is>
      </c>
      <c r="M1" s="1" t="inlineStr">
        <is>
          <t>Scott's correction</t>
        </is>
      </c>
      <c r="N1" s="1" t="inlineStr">
        <is>
          <t>Diff PDF (codec vs Detailer)</t>
        </is>
      </c>
      <c r="O1" s="1" t="inlineStr">
        <is>
          <t>Manufacturing PDF (frame elevations)</t>
        </is>
      </c>
      <c r="P1" s="1" t="inlineStr">
        <is>
          <t>Architectural PDF (project context)</t>
        </is>
      </c>
      <c r="Q1" s="1" t="inlineStr">
        <is>
          <t>.fcp file (open in Detailer)</t>
        </is>
      </c>
      <c r="R1" s="1" t="inlineStr">
        <is>
          <t>Source XML</t>
        </is>
      </c>
    </row>
    <row r="2" ht="22" customHeight="1">
      <c r="A2" s="2" t="n">
        <v>1</v>
      </c>
      <c r="B2" s="2" t="inlineStr">
        <is>
          <t>A</t>
        </is>
      </c>
      <c r="C2" s="2" t="inlineStr">
        <is>
          <t>Wall studs (S, J)</t>
        </is>
      </c>
      <c r="D2" s="2" t="inlineStr">
        <is>
          <t>70mm</t>
        </is>
      </c>
      <c r="E2" s="2" t="inlineStr">
        <is>
          <t>Always</t>
        </is>
      </c>
      <c r="F2" s="2" t="inlineStr">
        <is>
          <t>Start Swage 0..39mm (39mm cap from start)</t>
        </is>
      </c>
      <c r="G2" s="3" t="inlineStr">
        <is>
          <t>Yes</t>
        </is>
      </c>
      <c r="H2" s="2" t="inlineStr"/>
      <c r="I2" s="2" t="inlineStr"/>
      <c r="J2" s="2" t="inlineStr">
        <is>
          <t>—</t>
        </is>
      </c>
      <c r="K2" s="2" t="inlineStr">
        <is>
          <t>—</t>
        </is>
      </c>
      <c r="L2" s="2" t="inlineStr"/>
      <c r="M2" s="2" t="inlineStr"/>
      <c r="N2" s="2" t="inlineStr"/>
      <c r="O2" s="2" t="inlineStr"/>
      <c r="P2" s="2" t="inlineStr"/>
      <c r="Q2" s="2" t="inlineStr"/>
      <c r="R2" s="2" t="inlineStr"/>
    </row>
    <row r="3" ht="22" customHeight="1">
      <c r="A3" s="2" t="n">
        <v>2</v>
      </c>
      <c r="B3" s="2" t="inlineStr">
        <is>
          <t>A</t>
        </is>
      </c>
      <c r="C3" s="2" t="inlineStr">
        <is>
          <t>Wall studs (S, J)</t>
        </is>
      </c>
      <c r="D3" s="2" t="inlineStr">
        <is>
          <t>70mm</t>
        </is>
      </c>
      <c r="E3" s="2" t="inlineStr">
        <is>
          <t>Always</t>
        </is>
      </c>
      <c r="F3" s="2" t="inlineStr">
        <is>
          <t>Start InnerDimple at 16.5mm from start</t>
        </is>
      </c>
      <c r="G3" s="3" t="inlineStr">
        <is>
          <t>Yes</t>
        </is>
      </c>
      <c r="H3" s="2" t="inlineStr"/>
      <c r="I3" s="2" t="inlineStr"/>
      <c r="J3" s="2" t="inlineStr">
        <is>
          <t>—</t>
        </is>
      </c>
      <c r="K3" s="2" t="inlineStr">
        <is>
          <t>—</t>
        </is>
      </c>
      <c r="L3" s="2" t="inlineStr"/>
      <c r="M3" s="2" t="inlineStr"/>
      <c r="N3" s="2" t="inlineStr"/>
      <c r="O3" s="2" t="inlineStr"/>
      <c r="P3" s="2" t="inlineStr"/>
      <c r="Q3" s="2" t="inlineStr"/>
      <c r="R3" s="2" t="inlineStr"/>
    </row>
    <row r="4" ht="22" customHeight="1">
      <c r="A4" s="2" t="n">
        <v>3</v>
      </c>
      <c r="B4" s="2" t="inlineStr">
        <is>
          <t>A</t>
        </is>
      </c>
      <c r="C4" s="2" t="inlineStr">
        <is>
          <t>Wall studs (S, J)</t>
        </is>
      </c>
      <c r="D4" s="2" t="inlineStr">
        <is>
          <t>70mm</t>
        </is>
      </c>
      <c r="E4" s="2" t="inlineStr">
        <is>
          <t>Always</t>
        </is>
      </c>
      <c r="F4" s="2" t="inlineStr">
        <is>
          <t>End Swage [length-39 .. length]</t>
        </is>
      </c>
      <c r="G4" s="3" t="inlineStr">
        <is>
          <t>Yes</t>
        </is>
      </c>
      <c r="H4" s="2" t="inlineStr"/>
      <c r="I4" s="2" t="inlineStr"/>
      <c r="J4" s="2" t="inlineStr">
        <is>
          <t>—</t>
        </is>
      </c>
      <c r="K4" s="2" t="inlineStr">
        <is>
          <t>—</t>
        </is>
      </c>
      <c r="L4" s="2" t="inlineStr"/>
      <c r="M4" s="2" t="inlineStr"/>
      <c r="N4" s="2" t="inlineStr"/>
      <c r="O4" s="2" t="inlineStr"/>
      <c r="P4" s="2" t="inlineStr"/>
      <c r="Q4" s="2" t="inlineStr"/>
      <c r="R4" s="2" t="inlineStr"/>
    </row>
    <row r="5" ht="22" customHeight="1">
      <c r="A5" s="2" t="n">
        <v>4</v>
      </c>
      <c r="B5" s="2" t="inlineStr">
        <is>
          <t>A</t>
        </is>
      </c>
      <c r="C5" s="2" t="inlineStr">
        <is>
          <t>Wall studs (S, J)</t>
        </is>
      </c>
      <c r="D5" s="2" t="inlineStr">
        <is>
          <t>70mm</t>
        </is>
      </c>
      <c r="E5" s="2" t="inlineStr">
        <is>
          <t>Always</t>
        </is>
      </c>
      <c r="F5" s="2" t="inlineStr">
        <is>
          <t>End InnerDimple at length-16.5</t>
        </is>
      </c>
      <c r="G5" s="3" t="inlineStr">
        <is>
          <t>Yes</t>
        </is>
      </c>
      <c r="H5" s="2" t="inlineStr"/>
      <c r="I5" s="2" t="inlineStr"/>
      <c r="J5" s="2" t="inlineStr">
        <is>
          <t>—</t>
        </is>
      </c>
      <c r="K5" s="2" t="inlineStr">
        <is>
          <t>—</t>
        </is>
      </c>
      <c r="L5" s="2" t="inlineStr"/>
      <c r="M5" s="2" t="inlineStr"/>
      <c r="N5" s="2" t="inlineStr"/>
      <c r="O5" s="2" t="inlineStr"/>
      <c r="P5" s="2" t="inlineStr"/>
      <c r="Q5" s="2" t="inlineStr"/>
      <c r="R5" s="2" t="inlineStr"/>
    </row>
    <row r="6" ht="195" customHeight="1">
      <c r="A6" s="2" t="n">
        <v>5</v>
      </c>
      <c r="B6" s="2" t="inlineStr">
        <is>
          <t>A</t>
        </is>
      </c>
      <c r="C6" s="2" t="inlineStr">
        <is>
          <t>Wall studs (S, J)</t>
        </is>
      </c>
      <c r="D6" s="2" t="inlineStr">
        <is>
          <t>70/89mm</t>
        </is>
      </c>
      <c r="E6" s="2" t="inlineStr">
        <is>
          <t>Wall plan AND length&gt;=500</t>
        </is>
      </c>
      <c r="F6" s="2" t="inlineStr">
        <is>
          <t>Service hole at 296mm from start (outlet height)</t>
        </is>
      </c>
      <c r="G6" s="4" t="inlineStr">
        <is>
          <t>No</t>
        </is>
      </c>
      <c r="H6" s="5" t="inlineStr">
        <is>
          <t>HG260001
GF-LBW-70.075
frame L4
stick S11</t>
        </is>
      </c>
      <c r="I6" s="2" t="inlineStr">
        <is>
          <t>Which studs get the 296mm hole? Every stud, or only some (e.g. near openings, every Nth, by electrical layout)?</t>
        </is>
      </c>
      <c r="J6" s="2" t="inlineStr">
        <is>
          <t>19,106 sticks / 169 pairs</t>
        </is>
      </c>
      <c r="K6" s="2" t="inlineStr">
        <is>
          <t>moderate (over-emit on most jobs)</t>
        </is>
      </c>
      <c r="L6" s="2" t="inlineStr">
        <is>
          <t>WHAT WE EMIT: An InnerService hole at exactly 296mm from the BOTTOM of every wall stud (S/J), but only when the plan is LBW or NLBW and the stud is at least 500mm long. Position is fixed.
WHAT DETAILER DOES: Detailer emits InnerService holes on wall studs at this height too — but it is SELECTIVE. It only puts the hole on SOME of the studs, not all. When we emit on every stud, we generate dozens of extra holes Detailer didn't put there.
MY HYPOTHESIS: Detailer is reading something from project metadata that we don't import — most likely electrical layout data (which studs are next to outlets, switches, light fittings). Or it's picking studs based on a fixed counting pattern (every 3rd stud, or only studs adjacent to openings).
WHAT I NEED FROM YOU: How does Detailer (or your standard practice) decide WHICH studs get the 296mm hole?</t>
        </is>
      </c>
      <c r="M6" s="6" t="inlineStr">
        <is>
          <t xml:space="preserve">THE RULE SHOULD FIRE WHEN: 
THE VALUES ARE: 
IT SHOULD NOT FIRE WHEN: 
WHY (physical reason): </t>
        </is>
      </c>
      <c r="N6" s="7">
        <f>HYPERLINK("file:///C:/Users/Scott/CLAUDE CODE/hytek-rfy-codec/docs/rule-pdfs/rule-05.pdf","rule-05.pdf")</f>
        <v/>
      </c>
      <c r="O6" s="7">
        <f>HYPERLINK("file:///Y:/(17) 2026 HYTEK PROJECTS/CORAL HOMES/HG260001 LOT 289 (29) COORA CRESENT CURRIMUNDI/06 MANUFACTURING/02 DRAWINGS MANUFACTURING/01 LGS/HG260001 LOT 289 COORA CRESCENT CURRIMUNDI 4551-GF-LBW-70.075.pdf","HG260001 LOT 289 COORA CRESCENT CURRIMUNDI 4551-GF")</f>
        <v/>
      </c>
      <c r="P6" s="7">
        <f>HYPERLINK("file:///Y:/(17) 2026 HYTEK PROJECTS/CORAL HOMES/HG260001 LOT 289 (29) COORA CRESENT CURRIMUNDI/01 PROJECT DOCUMENTATION/02 CURRENT DOCS/01 PDF/AC LAYOUT.pdf","AC LAYOUT.pdf")</f>
        <v/>
      </c>
      <c r="Q6" s="7">
        <f>HYPERLINK("file:///Y:/(17) 2026 HYTEK PROJECTS/CORAL HOMES/HG260001 LOT 289 (29) COORA CRESENT CURRIMUNDI/03 DETAILING/03 FRAMECAD DETAILER/HG260001 LOT 289 (29) COORA CRESENT CURRIMUNDI.fcp","HG260001 LOT 289 (29) COORA CRESENT CURRIMUNDI.fcp")</f>
        <v/>
      </c>
      <c r="R6" s="7">
        <f>HYPERLINK("file:///Y:/(17) 2026 HYTEK PROJECTS/CORAL HOMES/HG260001 LOT 289 (29) COORA CRESENT CURRIMUNDI/03 DETAILING/03 FRAMECAD DETAILER/01 XML OUTPUT/HG260001 LOT 289 COORA CRESCENT CURRIMUNDI 4551-GF-LBW-70.075.xml","HG260001 LOT 289 COORA CRESCENT CURRIMUNDI 4551-GF")</f>
        <v/>
      </c>
    </row>
    <row r="7" ht="120" customHeight="1">
      <c r="A7" s="2" t="n">
        <v>6</v>
      </c>
      <c r="B7" s="2" t="inlineStr">
        <is>
          <t>A</t>
        </is>
      </c>
      <c r="C7" s="2" t="inlineStr">
        <is>
          <t>Wall studs (S, J)</t>
        </is>
      </c>
      <c r="D7" s="2" t="inlineStr">
        <is>
          <t>70/89mm</t>
        </is>
      </c>
      <c r="E7" s="2" t="inlineStr">
        <is>
          <t>Wall plan AND length&gt;=500</t>
        </is>
      </c>
      <c r="F7" s="2" t="inlineStr">
        <is>
          <t>Service hole at 446mm from start (switch height)</t>
        </is>
      </c>
      <c r="G7" s="4" t="inlineStr">
        <is>
          <t>No</t>
        </is>
      </c>
      <c r="H7" s="5" t="inlineStr">
        <is>
          <t>HG260001
GF-LBW-70.075
frame L4
stick S11</t>
        </is>
      </c>
      <c r="I7" s="2" t="inlineStr">
        <is>
          <t>Same discriminator as rule 5. Always paired with the 296 hole?</t>
        </is>
      </c>
      <c r="J7" s="2" t="inlineStr">
        <is>
          <t>19,106 sticks / 169 pairs</t>
        </is>
      </c>
      <c r="K7" s="2" t="inlineStr">
        <is>
          <t>moderate</t>
        </is>
      </c>
      <c r="L7" s="2" t="inlineStr">
        <is>
          <t>Same shape as rule 5 — paired hole at 446mm. Once we know which studs get the 296 hole, the 446 follows. Also: are the 296 / 446 heights ever different (e.g. taller walls, non-domestic occupancy)?</t>
        </is>
      </c>
      <c r="M7" s="6" t="inlineStr">
        <is>
          <t xml:space="preserve">THE RULE SHOULD FIRE WHEN: 
THE VALUES ARE: 
IT SHOULD NOT FIRE WHEN: 
WHY (physical reason): </t>
        </is>
      </c>
      <c r="N7" s="7">
        <f>HYPERLINK("file:///C:/Users/Scott/CLAUDE CODE/hytek-rfy-codec/docs/rule-pdfs/rule-06.pdf","rule-06.pdf")</f>
        <v/>
      </c>
      <c r="O7" s="7">
        <f>HYPERLINK("file:///Y:/(17) 2026 HYTEK PROJECTS/CORAL HOMES/HG260001 LOT 289 (29) COORA CRESENT CURRIMUNDI/06 MANUFACTURING/02 DRAWINGS MANUFACTURING/01 LGS/HG260001 LOT 289 COORA CRESCENT CURRIMUNDI 4551-GF-LBW-70.075.pdf","HG260001 LOT 289 COORA CRESCENT CURRIMUNDI 4551-GF")</f>
        <v/>
      </c>
      <c r="P7" s="7">
        <f>HYPERLINK("file:///Y:/(17) 2026 HYTEK PROJECTS/CORAL HOMES/HG260001 LOT 289 (29) COORA CRESENT CURRIMUNDI/01 PROJECT DOCUMENTATION/02 CURRENT DOCS/01 PDF/AC LAYOUT.pdf","AC LAYOUT.pdf")</f>
        <v/>
      </c>
      <c r="Q7" s="7">
        <f>HYPERLINK("file:///Y:/(17) 2026 HYTEK PROJECTS/CORAL HOMES/HG260001 LOT 289 (29) COORA CRESENT CURRIMUNDI/03 DETAILING/03 FRAMECAD DETAILER/HG260001 LOT 289 (29) COORA CRESENT CURRIMUNDI.fcp","HG260001 LOT 289 (29) COORA CRESENT CURRIMUNDI.fcp")</f>
        <v/>
      </c>
      <c r="R7" s="7">
        <f>HYPERLINK("file:///Y:/(17) 2026 HYTEK PROJECTS/CORAL HOMES/HG260001 LOT 289 (29) COORA CRESENT CURRIMUNDI/03 DETAILING/03 FRAMECAD DETAILER/01 XML OUTPUT/HG260001 LOT 289 COORA CRESCENT CURRIMUNDI 4551-GF-LBW-70.075.xml","HG260001 LOT 289 COORA CRESCENT CURRIMUNDI 4551-GF")</f>
        <v/>
      </c>
    </row>
    <row r="8" ht="120" customHeight="1">
      <c r="A8" s="2" t="n">
        <v>7</v>
      </c>
      <c r="B8" s="2" t="inlineStr">
        <is>
          <t>A</t>
        </is>
      </c>
      <c r="C8" s="2" t="inlineStr">
        <is>
          <t>Wall studs (S, J)</t>
        </is>
      </c>
      <c r="D8" s="2" t="inlineStr">
        <is>
          <t>70/89mm</t>
        </is>
      </c>
      <c r="E8" s="2" t="inlineStr">
        <is>
          <t>framecad-import.ts post-process</t>
        </is>
      </c>
      <c r="F8" s="2" t="inlineStr">
        <is>
          <t>Web access holes evenly distributed in body</t>
        </is>
      </c>
      <c r="G8" s="4" t="inlineStr">
        <is>
          <t>No</t>
        </is>
      </c>
      <c r="H8" s="5" t="inlineStr">
        <is>
          <t>HG260001
GF-LBW-70.075
frame L4
stick S11</t>
        </is>
      </c>
      <c r="I8" s="2" t="inlineStr">
        <is>
          <t>What's the spacing rule for web access holes (fixed positions vs evenly distributed vs max-gap)?</t>
        </is>
      </c>
      <c r="J8" s="2" t="inlineStr">
        <is>
          <t>27,042 sticks / 236 pairs</t>
        </is>
      </c>
      <c r="K8" s="2" t="inlineStr">
        <is>
          <t>small</t>
        </is>
      </c>
      <c r="L8" s="2" t="inlineStr">
        <is>
          <t>WHAT WE EMIT: A series of evenly-spaced web access holes along the body of every wall stud, generated by framecad-import.ts post-processing. The number and spacing are hand-tuned, not derived from a HYTEK rule.
WHAT I NEED FROM YOU: For a 2400mm wall stud, what web holes does Detailer emit (positions in mm from the bottom)? Same question for a 2700mm and a 1800mm stud.</t>
        </is>
      </c>
      <c r="M8" s="6" t="inlineStr">
        <is>
          <t xml:space="preserve">THE RULE SHOULD FIRE WHEN: 
THE VALUES ARE: 
IT SHOULD NOT FIRE WHEN: 
WHY (physical reason): </t>
        </is>
      </c>
      <c r="N8" s="7">
        <f>HYPERLINK("file:///C:/Users/Scott/CLAUDE CODE/hytek-rfy-codec/docs/rule-pdfs/rule-07.pdf","rule-07.pdf")</f>
        <v/>
      </c>
      <c r="O8" s="7">
        <f>HYPERLINK("file:///Y:/(17) 2026 HYTEK PROJECTS/CORAL HOMES/HG260001 LOT 289 (29) COORA CRESENT CURRIMUNDI/06 MANUFACTURING/02 DRAWINGS MANUFACTURING/01 LGS/HG260001 LOT 289 COORA CRESCENT CURRIMUNDI 4551-GF-LBW-70.075.pdf","HG260001 LOT 289 COORA CRESCENT CURRIMUNDI 4551-GF")</f>
        <v/>
      </c>
      <c r="P8" s="7">
        <f>HYPERLINK("file:///Y:/(17) 2026 HYTEK PROJECTS/CORAL HOMES/HG260001 LOT 289 (29) COORA CRESENT CURRIMUNDI/01 PROJECT DOCUMENTATION/02 CURRENT DOCS/01 PDF/CARPENTER LAYOUT.pdf","CARPENTER LAYOUT.pdf")</f>
        <v/>
      </c>
      <c r="Q8" s="7">
        <f>HYPERLINK("file:///Y:/(17) 2026 HYTEK PROJECTS/CORAL HOMES/HG260001 LOT 289 (29) COORA CRESENT CURRIMUNDI/03 DETAILING/03 FRAMECAD DETAILER/HG260001 LOT 289 (29) COORA CRESENT CURRIMUNDI.fcp","HG260001 LOT 289 (29) COORA CRESENT CURRIMUNDI.fcp")</f>
        <v/>
      </c>
      <c r="R8" s="7">
        <f>HYPERLINK("file:///Y:/(17) 2026 HYTEK PROJECTS/CORAL HOMES/HG260001 LOT 289 (29) COORA CRESENT CURRIMUNDI/03 DETAILING/03 FRAMECAD DETAILER/01 XML OUTPUT/HG260001 LOT 289 COORA CRESCENT CURRIMUNDI 4551-GF-LBW-70.075.xml","HG260001 LOT 289 COORA CRESCENT CURRIMUNDI 4551-GF")</f>
        <v/>
      </c>
    </row>
    <row r="9" ht="120" customHeight="1">
      <c r="A9" s="2" t="n">
        <v>8</v>
      </c>
      <c r="B9" s="2" t="inlineStr">
        <is>
          <t>A</t>
        </is>
      </c>
      <c r="C9" s="2" t="inlineStr">
        <is>
          <t>Wall studs (S, J)</t>
        </is>
      </c>
      <c r="D9" s="2" t="inlineStr">
        <is>
          <t>89mm</t>
        </is>
      </c>
      <c r="E9" s="2" t="inlineStr">
        <is>
          <t>Always</t>
        </is>
      </c>
      <c r="F9" s="2" t="inlineStr">
        <is>
          <t>Same 4-op pattern as 70mm at 89mm constants</t>
        </is>
      </c>
      <c r="G9" s="4" t="inlineStr">
        <is>
          <t>No</t>
        </is>
      </c>
      <c r="H9" s="5" t="inlineStr">
        <is>
          <t>HG260012
TH01-GF-LBW-89.075
frame L1101
stick S1</t>
        </is>
      </c>
      <c r="I9" s="2" t="inlineStr">
        <is>
          <t>Do 89mm wall studs really use the same 39mm cap and 16.5mm dimple as 70mm?</t>
        </is>
      </c>
      <c r="J9" s="2" t="inlineStr">
        <is>
          <t>7,104 sticks / 84 pairs</t>
        </is>
      </c>
      <c r="K9" s="2" t="inlineStr">
        <is>
          <t>small (corpus already aligns)</t>
        </is>
      </c>
      <c r="L9" s="2" t="inlineStr">
        <is>
          <t>WHAT WE EMIT: 89mm wall studs use the same 39mm Swage cap + 16.5mm dimple as 70mm. Constants come from MACHINE_SETUPS['6'] (F325iT 89mm) which has Tab=35 + Clearance=4 = 39, identical to 70mm.
WHAT I NEED FROM YOU: Confirm 89mm wall studs really use the same 39mm cap + 16.5mm dimple. If different, what are the values?</t>
        </is>
      </c>
      <c r="M9" s="6" t="inlineStr">
        <is>
          <t xml:space="preserve">THE RULE SHOULD FIRE WHEN: 
THE VALUES ARE: 
IT SHOULD NOT FIRE WHEN: 
WHY (physical reason): </t>
        </is>
      </c>
      <c r="N9" s="7">
        <f>HYPERLINK("file:///C:/Users/Scott/CLAUDE CODE/hytek-rfy-codec/docs/rule-pdfs/rule-08.pdf","rule-08.pdf")</f>
        <v/>
      </c>
      <c r="O9" s="7">
        <f>HYPERLINK("file:///Y:/(17) 2026 HYTEK PROJECTS/AKAM CONSTRUCTIONS/HG260012 23 SPRINGWOOD ST TOWNHOUSES/06 MANUFACTURING/02 DRAWINGS MANUFACTURING/01 LGS/TH01-02/HG260012 [Akam] 23 Springwood Street -TH01-02-TH01-GF-LBW-89.075.pdf","HG260012 [Akam] 23 Springwood Street -TH01-02-TH01")</f>
        <v/>
      </c>
      <c r="P9" s="7">
        <f>HYPERLINK("file:///Y:/(17) 2026 HYTEK PROJECTS/AKAM CONSTRUCTIONS/HG260012 23 SPRINGWOOD ST TOWNHOUSES/01 PROJECT DOCUMENTATION/02 CURRENT DOCS/01 PDF/188. 23 Springwood St - Issue For Construction plan set.pdf","188. 23 Springwood St - Issue For Construction pla")</f>
        <v/>
      </c>
      <c r="Q9" s="7">
        <f>HYPERLINK("file:///Y:/(17) 2026 HYTEK PROJECTS/AKAM CONSTRUCTIONS/HG260012 23 SPRINGWOOD ST TOWNHOUSES/03 DETAILING/03 FRAMECAD DETAILER/HG260012 [Akam] 23 Springwood Street -TH01-02.fcp","HG260012 [Akam] 23 Springwood Street -TH01-02.fcp")</f>
        <v/>
      </c>
      <c r="R9" s="7">
        <f>HYPERLINK("file:///Y:/(17) 2026 HYTEK PROJECTS/AKAM CONSTRUCTIONS/HG260012 23 SPRINGWOOD ST TOWNHOUSES/03 DETAILING/03 FRAMECAD DETAILER/01 XML OUTPUT/HG260012 [Akam] 23 Springwood Street -TH01-02-TH01-GF-LBW-89.075.xml","HG260012 [Akam] 23 Springwood Street -TH01-02-TH01")</f>
        <v/>
      </c>
    </row>
    <row r="10" ht="22" customHeight="1">
      <c r="A10" s="2" t="n">
        <v>9</v>
      </c>
      <c r="B10" s="2" t="inlineStr">
        <is>
          <t>B</t>
        </is>
      </c>
      <c r="C10" s="2" t="inlineStr">
        <is>
          <t>Cripple/king studs (Kb)</t>
        </is>
      </c>
      <c r="D10" s="2" t="inlineStr">
        <is>
          <t>70mm</t>
        </is>
      </c>
      <c r="E10" s="2" t="inlineStr">
        <is>
          <t>Kb only</t>
        </is>
      </c>
      <c r="F10" s="2" t="inlineStr">
        <is>
          <t>Chamfer at start ONLY</t>
        </is>
      </c>
      <c r="G10" s="3" t="inlineStr">
        <is>
          <t>Yes</t>
        </is>
      </c>
      <c r="H10" s="2" t="inlineStr"/>
      <c r="I10" s="2" t="inlineStr"/>
      <c r="J10" s="2" t="inlineStr">
        <is>
          <t>—</t>
        </is>
      </c>
      <c r="K10" s="2" t="inlineStr">
        <is>
          <t>—</t>
        </is>
      </c>
      <c r="L10" s="2" t="inlineStr"/>
      <c r="M10" s="2" t="inlineStr"/>
      <c r="N10" s="2" t="inlineStr"/>
      <c r="O10" s="2" t="inlineStr"/>
      <c r="P10" s="2" t="inlineStr"/>
      <c r="Q10" s="2" t="inlineStr"/>
      <c r="R10" s="2" t="inlineStr"/>
    </row>
    <row r="11" ht="22" customHeight="1">
      <c r="A11" s="2" t="n">
        <v>10</v>
      </c>
      <c r="B11" s="2" t="inlineStr">
        <is>
          <t>B</t>
        </is>
      </c>
      <c r="C11" s="2" t="inlineStr">
        <is>
          <t>Cripple/king studs (Kb)</t>
        </is>
      </c>
      <c r="D11" s="2" t="inlineStr">
        <is>
          <t>70mm</t>
        </is>
      </c>
      <c r="E11" s="2" t="inlineStr">
        <is>
          <t>Kb only</t>
        </is>
      </c>
      <c r="F11" s="2" t="inlineStr">
        <is>
          <t>Start Swage 0..42mm</t>
        </is>
      </c>
      <c r="G11" s="3" t="inlineStr">
        <is>
          <t>Yes</t>
        </is>
      </c>
      <c r="H11" s="2" t="inlineStr"/>
      <c r="I11" s="2" t="inlineStr"/>
      <c r="J11" s="2" t="inlineStr">
        <is>
          <t>—</t>
        </is>
      </c>
      <c r="K11" s="2" t="inlineStr">
        <is>
          <t>—</t>
        </is>
      </c>
      <c r="L11" s="2" t="inlineStr"/>
      <c r="M11" s="2" t="inlineStr"/>
      <c r="N11" s="2" t="inlineStr"/>
      <c r="O11" s="2" t="inlineStr"/>
      <c r="P11" s="2" t="inlineStr"/>
      <c r="Q11" s="2" t="inlineStr"/>
      <c r="R11" s="2" t="inlineStr"/>
    </row>
    <row r="12" ht="22" customHeight="1">
      <c r="A12" s="2" t="n">
        <v>11</v>
      </c>
      <c r="B12" s="2" t="inlineStr">
        <is>
          <t>B</t>
        </is>
      </c>
      <c r="C12" s="2" t="inlineStr">
        <is>
          <t>Cripple/king studs (Kb)</t>
        </is>
      </c>
      <c r="D12" s="2" t="inlineStr">
        <is>
          <t>70mm</t>
        </is>
      </c>
      <c r="E12" s="2" t="inlineStr">
        <is>
          <t>Kb only</t>
        </is>
      </c>
      <c r="F12" s="2" t="inlineStr">
        <is>
          <t>Start InnerDimple at 10mm (NOT 16.5)</t>
        </is>
      </c>
      <c r="G12" s="3" t="inlineStr">
        <is>
          <t>Yes</t>
        </is>
      </c>
      <c r="H12" s="2" t="inlineStr"/>
      <c r="I12" s="2" t="inlineStr"/>
      <c r="J12" s="2" t="inlineStr">
        <is>
          <t>—</t>
        </is>
      </c>
      <c r="K12" s="2" t="inlineStr">
        <is>
          <t>—</t>
        </is>
      </c>
      <c r="L12" s="2" t="inlineStr"/>
      <c r="M12" s="2" t="inlineStr"/>
      <c r="N12" s="2" t="inlineStr"/>
      <c r="O12" s="2" t="inlineStr"/>
      <c r="P12" s="2" t="inlineStr"/>
      <c r="Q12" s="2" t="inlineStr"/>
      <c r="R12" s="2" t="inlineStr"/>
    </row>
    <row r="13" ht="169" customHeight="1">
      <c r="A13" s="2" t="n">
        <v>12</v>
      </c>
      <c r="B13" s="2" t="inlineStr">
        <is>
          <t>B</t>
        </is>
      </c>
      <c r="C13" s="2" t="inlineStr">
        <is>
          <t>Cripple/king studs (Kb)</t>
        </is>
      </c>
      <c r="D13" s="2" t="inlineStr">
        <is>
          <t>70mm</t>
        </is>
      </c>
      <c r="E13" s="2" t="inlineStr">
        <is>
          <t>Kb only, angle-dependent</t>
        </is>
      </c>
      <c r="F13" s="2" t="inlineStr">
        <is>
          <t>End Swage span = 45 / cos(angle from horizontal)</t>
        </is>
      </c>
      <c r="G13" s="4" t="inlineStr">
        <is>
          <t>No</t>
        </is>
      </c>
      <c r="H13" s="5" t="inlineStr">
        <is>
          <t>HG260001
GF-LBW-70.075
frame PK4-L4
stick Kb1</t>
        </is>
      </c>
      <c r="I13" s="2" t="inlineStr">
        <is>
          <t>What's the actual rule for the Kb end-Swage span — is 45mm a HYTEK constant?</t>
        </is>
      </c>
      <c r="J13" s="2" t="inlineStr">
        <is>
          <t>1,731 sticks / 94 pairs</t>
        </is>
      </c>
      <c r="K13" s="2" t="inlineStr">
        <is>
          <t>small</t>
        </is>
      </c>
      <c r="L13" s="2" t="inlineStr">
        <is>
          <t>WHAT WE EMIT: For Kb sticks the END Swage span scales with the stick angle. Formula: span = 45 / cos(angle from horizontal). Vertical Kb -&gt; 45mm. 68.3 deg from horizontal -&gt; 121.6mm.
WHAT DETAILER DOES: HG260001 PK4 LBW Kb1 at 68.3 deg has ref Swage 1354..1476.6 (span 122.6mm). Formula predicts 121.6 — match. We have one verified data point.
WHAT WORRIES ME: 45 isn't a HYTEK constant I can find. The 39mm (tab + clearance) is documented; 45mm just happens to fit.
WHAT I NEED FROM YOU: Is there a HYTEK / FrameCAD specification for cripple/king stud end caps? Specifically: angle-dependent or fixed? 45mm correct or different? Formal rule?</t>
        </is>
      </c>
      <c r="M13" s="6" t="inlineStr">
        <is>
          <t xml:space="preserve">THE RULE SHOULD FIRE WHEN: 
THE VALUES ARE: 
IT SHOULD NOT FIRE WHEN: 
WHY (physical reason): </t>
        </is>
      </c>
      <c r="N13" s="7">
        <f>HYPERLINK("file:///C:/Users/Scott/CLAUDE CODE/hytek-rfy-codec/docs/rule-pdfs/rule-12.pdf","rule-12.pdf")</f>
        <v/>
      </c>
      <c r="O13" s="7">
        <f>HYPERLINK("file:///Y:/(17) 2026 HYTEK PROJECTS/CORAL HOMES/HG260001 LOT 289 (29) COORA CRESENT CURRIMUNDI/06 MANUFACTURING/02 DRAWINGS MANUFACTURING/01 LGS/HG260001 LOT 289 COORA CRESCENT CURRIMUNDI 4551-GF-LBW-70.075.pdf","HG260001 LOT 289 COORA CRESCENT CURRIMUNDI 4551-GF")</f>
        <v/>
      </c>
      <c r="P13" s="7">
        <f>HYPERLINK("file:///Y:/(17) 2026 HYTEK PROJECTS/CORAL HOMES/HG260001 LOT 289 (29) COORA CRESENT CURRIMUNDI/01 PROJECT DOCUMENTATION/02 CURRENT DOCS/01 PDF/CONSTRUCTION DETAILS.pdf","CONSTRUCTION DETAILS.pdf")</f>
        <v/>
      </c>
      <c r="Q13" s="7">
        <f>HYPERLINK("file:///Y:/(17) 2026 HYTEK PROJECTS/CORAL HOMES/HG260001 LOT 289 (29) COORA CRESENT CURRIMUNDI/03 DETAILING/03 FRAMECAD DETAILER/HG260001 LOT 289 (29) COORA CRESENT CURRIMUNDI.fcp","HG260001 LOT 289 (29) COORA CRESENT CURRIMUNDI.fcp")</f>
        <v/>
      </c>
      <c r="R13" s="7">
        <f>HYPERLINK("file:///Y:/(17) 2026 HYTEK PROJECTS/CORAL HOMES/HG260001 LOT 289 (29) COORA CRESENT CURRIMUNDI/03 DETAILING/03 FRAMECAD DETAILER/01 XML OUTPUT/HG260001 LOT 289 COORA CRESCENT CURRIMUNDI 4551-GF-LBW-70.075.xml","HG260001 LOT 289 COORA CRESCENT CURRIMUNDI 4551-GF")</f>
        <v/>
      </c>
    </row>
    <row r="14" ht="22" customHeight="1">
      <c r="A14" s="2" t="n">
        <v>13</v>
      </c>
      <c r="B14" s="2" t="inlineStr">
        <is>
          <t>B</t>
        </is>
      </c>
      <c r="C14" s="2" t="inlineStr">
        <is>
          <t>Cripple/king studs (Kb)</t>
        </is>
      </c>
      <c r="D14" s="2" t="inlineStr">
        <is>
          <t>70mm</t>
        </is>
      </c>
      <c r="E14" s="2" t="inlineStr">
        <is>
          <t>Kb only</t>
        </is>
      </c>
      <c r="F14" s="2" t="inlineStr">
        <is>
          <t>End InnerDimple at length-10</t>
        </is>
      </c>
      <c r="G14" s="3" t="inlineStr">
        <is>
          <t>Yes</t>
        </is>
      </c>
      <c r="H14" s="2" t="inlineStr"/>
      <c r="I14" s="2" t="inlineStr"/>
      <c r="J14" s="2" t="inlineStr">
        <is>
          <t>—</t>
        </is>
      </c>
      <c r="K14" s="2" t="inlineStr">
        <is>
          <t>—</t>
        </is>
      </c>
      <c r="L14" s="2" t="inlineStr"/>
      <c r="M14" s="2" t="inlineStr"/>
      <c r="N14" s="2" t="inlineStr"/>
      <c r="O14" s="2" t="inlineStr"/>
      <c r="P14" s="2" t="inlineStr"/>
      <c r="Q14" s="2" t="inlineStr"/>
      <c r="R14" s="2" t="inlineStr"/>
    </row>
    <row r="15" ht="120" customHeight="1">
      <c r="A15" s="2" t="n">
        <v>14</v>
      </c>
      <c r="B15" s="2" t="inlineStr">
        <is>
          <t>B</t>
        </is>
      </c>
      <c r="C15" s="2" t="inlineStr">
        <is>
          <t>Cripple/king studs (Kb)</t>
        </is>
      </c>
      <c r="D15" s="2" t="inlineStr">
        <is>
          <t>89mm</t>
        </is>
      </c>
      <c r="E15" s="2" t="inlineStr">
        <is>
          <t>Always</t>
        </is>
      </c>
      <c r="F15" s="2" t="inlineStr">
        <is>
          <t>Same Kb pattern as 70mm</t>
        </is>
      </c>
      <c r="G15" s="4" t="inlineStr">
        <is>
          <t>No</t>
        </is>
      </c>
      <c r="H15" s="5" t="inlineStr">
        <is>
          <t>HG250030
GF-LBW-89.075
frame L24
stick Kb2</t>
        </is>
      </c>
      <c r="I15" s="2" t="inlineStr">
        <is>
          <t>Do 89mm Kb sticks use the same 42mm + 45/cos pattern as 70mm?</t>
        </is>
      </c>
      <c r="J15" s="2" t="inlineStr">
        <is>
          <t>1,256 sticks / 46 pairs</t>
        </is>
      </c>
      <c r="K15" s="2" t="inlineStr">
        <is>
          <t>small</t>
        </is>
      </c>
      <c r="L15" s="2" t="inlineStr">
        <is>
          <t>WHAT WE EMIT: 89mm Kb sticks use the same Chamfer + Swage + Dimple pattern as 70mm with the angle formula at the end. Untested at scale on 89mm.
WHAT I NEED FROM YOU: Same as rule 12 but for 89mm — are constants (45mm, 10mm) the same?</t>
        </is>
      </c>
      <c r="M15" s="6" t="inlineStr">
        <is>
          <t xml:space="preserve">THE RULE SHOULD FIRE WHEN: 
THE VALUES ARE: 
IT SHOULD NOT FIRE WHEN: 
WHY (physical reason): </t>
        </is>
      </c>
      <c r="N15" s="7">
        <f>HYPERLINK("file:///C:/Users/Scott/CLAUDE CODE/hytek-rfy-codec/docs/rule-pdfs/rule-14.pdf","rule-14.pdf")</f>
        <v/>
      </c>
      <c r="O15" s="7">
        <f>HYPERLINK("file:///Y:/(14) 2025 HYTEK PROJECTS/BOWE ELECTRICAL/HG250030 24 BAYVIEW STREET WELLINGTON POINT/06 MANUFACTURING/02 DRAWINGS MANUFACTURING/01 LGS/HG250030 24 BAYVIEW STREET WELLINGTON POINT Rev 6-GF-LBW-89.075.pdf","HG250030 24 BAYVIEW STREET WELLINGTON POINT Rev 6-")</f>
        <v/>
      </c>
      <c r="P15" s="2" t="inlineStr"/>
      <c r="Q15" s="7">
        <f>HYPERLINK("file:///Y:/(14) 2025 HYTEK PROJECTS/BOWE ELECTRICAL/HG250030 24 BAYVIEW STREET WELLINGTON POINT/03 DETAILING/03 FRAMECAD DETAILER/HG250030.fcp","HG250030.fcp")</f>
        <v/>
      </c>
      <c r="R15" s="7">
        <f>HYPERLINK("file:///Y:/(14) 2025 HYTEK PROJECTS/BOWE ELECTRICAL/HG250030 24 BAYVIEW STREET WELLINGTON POINT/03 DETAILING/03 FRAMECAD DETAILER/01 XML OUTPUT/HG250030 24 BAYVIEW STREET WELLINGTON POINT Rev 6-GF-LBW-89.075.xml","HG250030 24 BAYVIEW STREET WELLINGTON POINT Rev 6-")</f>
        <v/>
      </c>
    </row>
    <row r="16" ht="120" customHeight="1">
      <c r="A16" s="2" t="n">
        <v>15</v>
      </c>
      <c r="B16" s="2" t="inlineStr">
        <is>
          <t>C</t>
        </is>
      </c>
      <c r="C16" s="2" t="inlineStr">
        <is>
          <t>Header stud (H, single)</t>
        </is>
      </c>
      <c r="D16" s="2" t="inlineStr">
        <is>
          <t>70mm</t>
        </is>
      </c>
      <c r="E16" s="2" t="inlineStr">
        <is>
          <t>H not Kb</t>
        </is>
      </c>
      <c r="F16" s="2" t="inlineStr">
        <is>
          <t>End Swage span 43mm</t>
        </is>
      </c>
      <c r="G16" s="4" t="inlineStr">
        <is>
          <t>No</t>
        </is>
      </c>
      <c r="H16" s="5" t="inlineStr">
        <is>
          <t>HG260001
GF-LBW-70.075
frame PK4-L4
stick H1</t>
        </is>
      </c>
      <c r="I16" s="2" t="inlineStr">
        <is>
          <t>Is the cripple-role H rule actually live, or dead code? When does H differ from Kb?</t>
        </is>
      </c>
      <c r="J16" s="2" t="inlineStr">
        <is>
          <t>933 sticks / 80 pairs</t>
        </is>
      </c>
      <c r="K16" s="2" t="inlineStr">
        <is>
          <t>negligible</t>
        </is>
      </c>
      <c r="L16" s="2" t="inlineStr">
        <is>
          <t>WHAT WE EMIT: When a stick named H is matched as 'cripple' (not full header), end Swage span is 43mm.
WHAT WORRIES ME: There are two rules for sticks named H. Since H sticks always have role='H', HEADER_ROLES always wins, so this 43mm rule is probably DEAD CODE.
WHAT I NEED FROM YOU: Are there ever sticks named H that should be treated like cripple studs (43mm Swage cap) instead of full headers?</t>
        </is>
      </c>
      <c r="M16" s="6" t="inlineStr">
        <is>
          <t xml:space="preserve">THE RULE SHOULD FIRE WHEN: 
THE VALUES ARE: 
IT SHOULD NOT FIRE WHEN: 
WHY (physical reason): </t>
        </is>
      </c>
      <c r="N16" s="7">
        <f>HYPERLINK("file:///C:/Users/Scott/CLAUDE CODE/hytek-rfy-codec/docs/rule-pdfs/rule-15.pdf","rule-15.pdf")</f>
        <v/>
      </c>
      <c r="O16" s="7">
        <f>HYPERLINK("file:///Y:/(17) 2026 HYTEK PROJECTS/CORAL HOMES/HG260001 LOT 289 (29) COORA CRESENT CURRIMUNDI/06 MANUFACTURING/02 DRAWINGS MANUFACTURING/01 LGS/HG260001 LOT 289 COORA CRESCENT CURRIMUNDI 4551-GF-LBW-70.075.pdf","HG260001 LOT 289 COORA CRESCENT CURRIMUNDI 4551-GF")</f>
        <v/>
      </c>
      <c r="P16" s="7">
        <f>HYPERLINK("file:///Y:/(17) 2026 HYTEK PROJECTS/CORAL HOMES/HG260001 LOT 289 (29) COORA CRESENT CURRIMUNDI/01 PROJECT DOCUMENTATION/02 CURRENT DOCS/01 PDF/CONSTRUCTION DETAILS.pdf","CONSTRUCTION DETAILS.pdf")</f>
        <v/>
      </c>
      <c r="Q16" s="7">
        <f>HYPERLINK("file:///Y:/(17) 2026 HYTEK PROJECTS/CORAL HOMES/HG260001 LOT 289 (29) COORA CRESENT CURRIMUNDI/03 DETAILING/03 FRAMECAD DETAILER/HG260001 LOT 289 (29) COORA CRESENT CURRIMUNDI.fcp","HG260001 LOT 289 (29) COORA CRESENT CURRIMUNDI.fcp")</f>
        <v/>
      </c>
      <c r="R16" s="7">
        <f>HYPERLINK("file:///Y:/(17) 2026 HYTEK PROJECTS/CORAL HOMES/HG260001 LOT 289 (29) COORA CRESENT CURRIMUNDI/03 DETAILING/03 FRAMECAD DETAILER/01 XML OUTPUT/HG260001 LOT 289 COORA CRESCENT CURRIMUNDI 4551-GF-LBW-70.075.xml","HG260001 LOT 289 COORA CRESCENT CURRIMUNDI 4551-GF")</f>
        <v/>
      </c>
    </row>
    <row r="17" ht="22" customHeight="1">
      <c r="A17" s="2" t="n">
        <v>16</v>
      </c>
      <c r="B17" s="2" t="inlineStr">
        <is>
          <t>D</t>
        </is>
      </c>
      <c r="C17" s="2" t="inlineStr">
        <is>
          <t>Short top plate (T&lt;200mm)</t>
        </is>
      </c>
      <c r="D17" s="2" t="inlineStr">
        <is>
          <t>70mm</t>
        </is>
      </c>
      <c r="E17" s="2" t="inlineStr">
        <is>
          <t>Length&lt;200mm</t>
        </is>
      </c>
      <c r="F17" s="2" t="inlineStr">
        <is>
          <t>Start InnerNotch span 39mm</t>
        </is>
      </c>
      <c r="G17" s="3" t="inlineStr">
        <is>
          <t>Yes</t>
        </is>
      </c>
      <c r="H17" s="2" t="inlineStr"/>
      <c r="I17" s="2" t="inlineStr"/>
      <c r="J17" s="2" t="inlineStr">
        <is>
          <t>—</t>
        </is>
      </c>
      <c r="K17" s="2" t="inlineStr">
        <is>
          <t>—</t>
        </is>
      </c>
      <c r="L17" s="2" t="inlineStr"/>
      <c r="M17" s="2" t="inlineStr"/>
      <c r="N17" s="2" t="inlineStr"/>
      <c r="O17" s="2" t="inlineStr"/>
      <c r="P17" s="2" t="inlineStr"/>
      <c r="Q17" s="2" t="inlineStr"/>
      <c r="R17" s="2" t="inlineStr"/>
    </row>
    <row r="18" ht="22" customHeight="1">
      <c r="A18" s="2" t="n">
        <v>17</v>
      </c>
      <c r="B18" s="2" t="inlineStr">
        <is>
          <t>D</t>
        </is>
      </c>
      <c r="C18" s="2" t="inlineStr">
        <is>
          <t>Short top plate (T&lt;200mm)</t>
        </is>
      </c>
      <c r="D18" s="2" t="inlineStr">
        <is>
          <t>70mm</t>
        </is>
      </c>
      <c r="E18" s="2" t="inlineStr">
        <is>
          <t>Length&lt;200mm</t>
        </is>
      </c>
      <c r="F18" s="2" t="inlineStr">
        <is>
          <t>Start LipNotch span 39mm</t>
        </is>
      </c>
      <c r="G18" s="3" t="inlineStr">
        <is>
          <t>Yes</t>
        </is>
      </c>
      <c r="H18" s="2" t="inlineStr"/>
      <c r="I18" s="2" t="inlineStr"/>
      <c r="J18" s="2" t="inlineStr">
        <is>
          <t>—</t>
        </is>
      </c>
      <c r="K18" s="2" t="inlineStr">
        <is>
          <t>—</t>
        </is>
      </c>
      <c r="L18" s="2" t="inlineStr"/>
      <c r="M18" s="2" t="inlineStr"/>
      <c r="N18" s="2" t="inlineStr"/>
      <c r="O18" s="2" t="inlineStr"/>
      <c r="P18" s="2" t="inlineStr"/>
      <c r="Q18" s="2" t="inlineStr"/>
      <c r="R18" s="2" t="inlineStr"/>
    </row>
    <row r="19" ht="22" customHeight="1">
      <c r="A19" s="2" t="n">
        <v>18</v>
      </c>
      <c r="B19" s="2" t="inlineStr">
        <is>
          <t>D</t>
        </is>
      </c>
      <c r="C19" s="2" t="inlineStr">
        <is>
          <t>Short top plate (T&lt;200mm)</t>
        </is>
      </c>
      <c r="D19" s="2" t="inlineStr">
        <is>
          <t>70mm</t>
        </is>
      </c>
      <c r="E19" s="2" t="inlineStr">
        <is>
          <t>Length&lt;200mm</t>
        </is>
      </c>
      <c r="F19" s="2" t="inlineStr">
        <is>
          <t>Start InnerDimple at 16.5</t>
        </is>
      </c>
      <c r="G19" s="3" t="inlineStr">
        <is>
          <t>Yes</t>
        </is>
      </c>
      <c r="H19" s="2" t="inlineStr"/>
      <c r="I19" s="2" t="inlineStr"/>
      <c r="J19" s="2" t="inlineStr">
        <is>
          <t>—</t>
        </is>
      </c>
      <c r="K19" s="2" t="inlineStr">
        <is>
          <t>—</t>
        </is>
      </c>
      <c r="L19" s="2" t="inlineStr"/>
      <c r="M19" s="2" t="inlineStr"/>
      <c r="N19" s="2" t="inlineStr"/>
      <c r="O19" s="2" t="inlineStr"/>
      <c r="P19" s="2" t="inlineStr"/>
      <c r="Q19" s="2" t="inlineStr"/>
      <c r="R19" s="2" t="inlineStr"/>
    </row>
    <row r="20" ht="120" customHeight="1">
      <c r="A20" s="2" t="n">
        <v>19</v>
      </c>
      <c r="B20" s="2" t="inlineStr">
        <is>
          <t>D</t>
        </is>
      </c>
      <c r="C20" s="2" t="inlineStr">
        <is>
          <t>Short top plate (T&lt;200mm)</t>
        </is>
      </c>
      <c r="D20" s="2" t="inlineStr">
        <is>
          <t>70mm</t>
        </is>
      </c>
      <c r="E20" s="2" t="inlineStr">
        <is>
          <t>Length&lt;200mm AND LBW</t>
        </is>
      </c>
      <c r="F20" s="2" t="inlineStr">
        <is>
          <t>Start InnerDimple at 58.5 (paired)</t>
        </is>
      </c>
      <c r="G20" s="4" t="inlineStr">
        <is>
          <t>No</t>
        </is>
      </c>
      <c r="H20" s="5" t="inlineStr">
        <is>
          <t>HG260001
GF-LBW-70.075
frame PK4-L4
stick T2</t>
        </is>
      </c>
      <c r="I20" s="2" t="inlineStr">
        <is>
          <t>Why is the 58.5 paired dimple LBW-only? What does it represent physically (strap, screw, joist hanger)?</t>
        </is>
      </c>
      <c r="J20" s="2" t="inlineStr">
        <is>
          <t>224 sticks / 50 pairs</t>
        </is>
      </c>
      <c r="K20" s="2" t="inlineStr">
        <is>
          <t>small</t>
        </is>
      </c>
      <c r="L20" s="2" t="inlineStr">
        <is>
          <t>WHAT WE EMIT: Short top sub-plates (T&lt;200mm, sit ABOVE a header) get a paired dimple at 58.5mm from the start. ONLY on LBW plans, not NLBW.
WHAT DETAILER DOES: HG260001 PK4 LBW L4 (T2/T3/T4 sub-plates 121-127mm) shows ref dimples at 58.5. Our NLBW corpus doesn't.
WHAT I NEED FROM YOU: What does the 58.5 dimple represent physically (strap, header connector, joist hanger)? Why is it LBW-only?</t>
        </is>
      </c>
      <c r="M20" s="6" t="inlineStr">
        <is>
          <t xml:space="preserve">THE RULE SHOULD FIRE WHEN: 
THE VALUES ARE: 
IT SHOULD NOT FIRE WHEN: 
WHY (physical reason): </t>
        </is>
      </c>
      <c r="N20" s="7">
        <f>HYPERLINK("file:///C:/Users/Scott/CLAUDE CODE/hytek-rfy-codec/docs/rule-pdfs/rule-19.pdf","rule-19.pdf")</f>
        <v/>
      </c>
      <c r="O20" s="7">
        <f>HYPERLINK("file:///Y:/(17) 2026 HYTEK PROJECTS/CORAL HOMES/HG260001 LOT 289 (29) COORA CRESENT CURRIMUNDI/06 MANUFACTURING/02 DRAWINGS MANUFACTURING/01 LGS/HG260001 LOT 289 COORA CRESCENT CURRIMUNDI 4551-GF-LBW-70.075.pdf","HG260001 LOT 289 COORA CRESCENT CURRIMUNDI 4551-GF")</f>
        <v/>
      </c>
      <c r="P20" s="7">
        <f>HYPERLINK("file:///Y:/(17) 2026 HYTEK PROJECTS/CORAL HOMES/HG260001 LOT 289 (29) COORA CRESENT CURRIMUNDI/01 PROJECT DOCUMENTATION/02 CURRENT DOCS/01 PDF/43983 - TURNBULL - VO2 COLOUR- LBW MARKUP.pdf","43983 - TURNBULL - VO2 COLOUR- LBW MARKUP.pdf")</f>
        <v/>
      </c>
      <c r="Q20" s="7">
        <f>HYPERLINK("file:///Y:/(17) 2026 HYTEK PROJECTS/CORAL HOMES/HG260001 LOT 289 (29) COORA CRESENT CURRIMUNDI/03 DETAILING/03 FRAMECAD DETAILER/HG260001 LOT 289 (29) COORA CRESENT CURRIMUNDI.fcp","HG260001 LOT 289 (29) COORA CRESENT CURRIMUNDI.fcp")</f>
        <v/>
      </c>
      <c r="R20" s="7">
        <f>HYPERLINK("file:///Y:/(17) 2026 HYTEK PROJECTS/CORAL HOMES/HG260001 LOT 289 (29) COORA CRESENT CURRIMUNDI/03 DETAILING/03 FRAMECAD DETAILER/01 XML OUTPUT/HG260001 LOT 289 COORA CRESCENT CURRIMUNDI 4551-GF-LBW-70.075.xml","HG260001 LOT 289 COORA CRESCENT CURRIMUNDI 4551-GF")</f>
        <v/>
      </c>
    </row>
    <row r="21" ht="120" customHeight="1">
      <c r="A21" s="2" t="n">
        <v>20</v>
      </c>
      <c r="B21" s="2" t="inlineStr">
        <is>
          <t>D</t>
        </is>
      </c>
      <c r="C21" s="2" t="inlineStr">
        <is>
          <t>Short top plate (T&lt;200mm)</t>
        </is>
      </c>
      <c r="D21" s="2" t="inlineStr">
        <is>
          <t>70mm</t>
        </is>
      </c>
      <c r="E21" s="2" t="inlineStr">
        <is>
          <t>Length&lt;200mm AND LBW</t>
        </is>
      </c>
      <c r="F21" s="2" t="inlineStr">
        <is>
          <t>End InnerDimple at length-58.5</t>
        </is>
      </c>
      <c r="G21" s="4" t="inlineStr">
        <is>
          <t>No</t>
        </is>
      </c>
      <c r="H21" s="5" t="inlineStr">
        <is>
          <t>HG260001
GF-LBW-70.075
frame PK4-L4
stick T2</t>
        </is>
      </c>
      <c r="I21" s="2" t="inlineStr">
        <is>
          <t>Same answer as rule 19 (mirror at end).</t>
        </is>
      </c>
      <c r="J21" s="2" t="inlineStr">
        <is>
          <t>224 sticks / 50 pairs</t>
        </is>
      </c>
      <c r="K21" s="2" t="inlineStr">
        <is>
          <t>small</t>
        </is>
      </c>
      <c r="L21" s="2" t="inlineStr">
        <is>
          <t>Mirror of rule 19 at the end (length-58.5). Once rule 19 is settled, the other follows.</t>
        </is>
      </c>
      <c r="M21" s="6" t="inlineStr">
        <is>
          <t xml:space="preserve">THE RULE SHOULD FIRE WHEN: 
THE VALUES ARE: 
IT SHOULD NOT FIRE WHEN: 
WHY (physical reason): </t>
        </is>
      </c>
      <c r="N21" s="7">
        <f>HYPERLINK("file:///C:/Users/Scott/CLAUDE CODE/hytek-rfy-codec/docs/rule-pdfs/rule-20.pdf","rule-20.pdf")</f>
        <v/>
      </c>
      <c r="O21" s="7">
        <f>HYPERLINK("file:///Y:/(17) 2026 HYTEK PROJECTS/CORAL HOMES/HG260001 LOT 289 (29) COORA CRESENT CURRIMUNDI/06 MANUFACTURING/02 DRAWINGS MANUFACTURING/01 LGS/HG260001 LOT 289 COORA CRESCENT CURRIMUNDI 4551-GF-LBW-70.075.pdf","HG260001 LOT 289 COORA CRESCENT CURRIMUNDI 4551-GF")</f>
        <v/>
      </c>
      <c r="P21" s="7">
        <f>HYPERLINK("file:///Y:/(17) 2026 HYTEK PROJECTS/CORAL HOMES/HG260001 LOT 289 (29) COORA CRESENT CURRIMUNDI/01 PROJECT DOCUMENTATION/02 CURRENT DOCS/01 PDF/43983 - TURNBULL - VO2 COLOUR- LBW MARKUP.pdf","43983 - TURNBULL - VO2 COLOUR- LBW MARKUP.pdf")</f>
        <v/>
      </c>
      <c r="Q21" s="7">
        <f>HYPERLINK("file:///Y:/(17) 2026 HYTEK PROJECTS/CORAL HOMES/HG260001 LOT 289 (29) COORA CRESENT CURRIMUNDI/03 DETAILING/03 FRAMECAD DETAILER/HG260001 LOT 289 (29) COORA CRESENT CURRIMUNDI.fcp","HG260001 LOT 289 (29) COORA CRESENT CURRIMUNDI.fcp")</f>
        <v/>
      </c>
      <c r="R21" s="7">
        <f>HYPERLINK("file:///Y:/(17) 2026 HYTEK PROJECTS/CORAL HOMES/HG260001 LOT 289 (29) COORA CRESENT CURRIMUNDI/03 DETAILING/03 FRAMECAD DETAILER/01 XML OUTPUT/HG260001 LOT 289 COORA CRESCENT CURRIMUNDI 4551-GF-LBW-70.075.xml","HG260001 LOT 289 COORA CRESCENT CURRIMUNDI 4551-GF")</f>
        <v/>
      </c>
    </row>
    <row r="22" ht="22" customHeight="1">
      <c r="A22" s="2" t="n">
        <v>21</v>
      </c>
      <c r="B22" s="2" t="inlineStr">
        <is>
          <t>D</t>
        </is>
      </c>
      <c r="C22" s="2" t="inlineStr">
        <is>
          <t>Short top plate (T&lt;200mm)</t>
        </is>
      </c>
      <c r="D22" s="2" t="inlineStr">
        <is>
          <t>70mm</t>
        </is>
      </c>
      <c r="E22" s="2" t="inlineStr">
        <is>
          <t>Length&lt;200mm</t>
        </is>
      </c>
      <c r="F22" s="2" t="inlineStr">
        <is>
          <t>End InnerDimple at length-16.5</t>
        </is>
      </c>
      <c r="G22" s="3" t="inlineStr">
        <is>
          <t>Yes</t>
        </is>
      </c>
      <c r="H22" s="2" t="inlineStr"/>
      <c r="I22" s="2" t="inlineStr"/>
      <c r="J22" s="2" t="inlineStr">
        <is>
          <t>—</t>
        </is>
      </c>
      <c r="K22" s="2" t="inlineStr">
        <is>
          <t>—</t>
        </is>
      </c>
      <c r="L22" s="2" t="inlineStr"/>
      <c r="M22" s="2" t="inlineStr"/>
      <c r="N22" s="2" t="inlineStr"/>
      <c r="O22" s="2" t="inlineStr"/>
      <c r="P22" s="2" t="inlineStr"/>
      <c r="Q22" s="2" t="inlineStr"/>
      <c r="R22" s="2" t="inlineStr"/>
    </row>
    <row r="23" ht="22" customHeight="1">
      <c r="A23" s="2" t="n">
        <v>22</v>
      </c>
      <c r="B23" s="2" t="inlineStr">
        <is>
          <t>D</t>
        </is>
      </c>
      <c r="C23" s="2" t="inlineStr">
        <is>
          <t>Short top plate (T&lt;200mm)</t>
        </is>
      </c>
      <c r="D23" s="2" t="inlineStr">
        <is>
          <t>70mm</t>
        </is>
      </c>
      <c r="E23" s="2" t="inlineStr">
        <is>
          <t>Length&lt;200mm</t>
        </is>
      </c>
      <c r="F23" s="2" t="inlineStr">
        <is>
          <t>End InnerNotch span 39mm</t>
        </is>
      </c>
      <c r="G23" s="3" t="inlineStr">
        <is>
          <t>Yes</t>
        </is>
      </c>
      <c r="H23" s="2" t="inlineStr"/>
      <c r="I23" s="2" t="inlineStr"/>
      <c r="J23" s="2" t="inlineStr">
        <is>
          <t>—</t>
        </is>
      </c>
      <c r="K23" s="2" t="inlineStr">
        <is>
          <t>—</t>
        </is>
      </c>
      <c r="L23" s="2" t="inlineStr"/>
      <c r="M23" s="2" t="inlineStr"/>
      <c r="N23" s="2" t="inlineStr"/>
      <c r="O23" s="2" t="inlineStr"/>
      <c r="P23" s="2" t="inlineStr"/>
      <c r="Q23" s="2" t="inlineStr"/>
      <c r="R23" s="2" t="inlineStr"/>
    </row>
    <row r="24" ht="22" customHeight="1">
      <c r="A24" s="2" t="n">
        <v>23</v>
      </c>
      <c r="B24" s="2" t="inlineStr">
        <is>
          <t>D</t>
        </is>
      </c>
      <c r="C24" s="2" t="inlineStr">
        <is>
          <t>Short top plate (T&lt;200mm)</t>
        </is>
      </c>
      <c r="D24" s="2" t="inlineStr">
        <is>
          <t>70mm</t>
        </is>
      </c>
      <c r="E24" s="2" t="inlineStr">
        <is>
          <t>Length&lt;200mm</t>
        </is>
      </c>
      <c r="F24" s="2" t="inlineStr">
        <is>
          <t>End LipNotch span 39mm</t>
        </is>
      </c>
      <c r="G24" s="3" t="inlineStr">
        <is>
          <t>Yes</t>
        </is>
      </c>
      <c r="H24" s="2" t="inlineStr"/>
      <c r="I24" s="2" t="inlineStr"/>
      <c r="J24" s="2" t="inlineStr">
        <is>
          <t>—</t>
        </is>
      </c>
      <c r="K24" s="2" t="inlineStr">
        <is>
          <t>—</t>
        </is>
      </c>
      <c r="L24" s="2" t="inlineStr"/>
      <c r="M24" s="2" t="inlineStr"/>
      <c r="N24" s="2" t="inlineStr"/>
      <c r="O24" s="2" t="inlineStr"/>
      <c r="P24" s="2" t="inlineStr"/>
      <c r="Q24" s="2" t="inlineStr"/>
      <c r="R24" s="2" t="inlineStr"/>
    </row>
    <row r="25" ht="22" customHeight="1">
      <c r="A25" s="2" t="n">
        <v>24</v>
      </c>
      <c r="B25" s="2" t="inlineStr">
        <is>
          <t>E</t>
        </is>
      </c>
      <c r="C25" s="2" t="inlineStr">
        <is>
          <t>Long top plate (T&gt;=200mm)</t>
        </is>
      </c>
      <c r="D25" s="2" t="inlineStr">
        <is>
          <t>70mm</t>
        </is>
      </c>
      <c r="E25" s="2" t="inlineStr">
        <is>
          <t>Length&gt;=200mm</t>
        </is>
      </c>
      <c r="F25" s="2" t="inlineStr">
        <is>
          <t>Start LipNotch span 39mm</t>
        </is>
      </c>
      <c r="G25" s="3" t="inlineStr">
        <is>
          <t>Yes</t>
        </is>
      </c>
      <c r="H25" s="2" t="inlineStr"/>
      <c r="I25" s="2" t="inlineStr"/>
      <c r="J25" s="2" t="inlineStr">
        <is>
          <t>—</t>
        </is>
      </c>
      <c r="K25" s="2" t="inlineStr">
        <is>
          <t>—</t>
        </is>
      </c>
      <c r="L25" s="2" t="inlineStr"/>
      <c r="M25" s="2" t="inlineStr"/>
      <c r="N25" s="2" t="inlineStr"/>
      <c r="O25" s="2" t="inlineStr"/>
      <c r="P25" s="2" t="inlineStr"/>
      <c r="Q25" s="2" t="inlineStr"/>
      <c r="R25" s="2" t="inlineStr"/>
    </row>
    <row r="26" ht="22" customHeight="1">
      <c r="A26" s="2" t="n">
        <v>25</v>
      </c>
      <c r="B26" s="2" t="inlineStr">
        <is>
          <t>E</t>
        </is>
      </c>
      <c r="C26" s="2" t="inlineStr">
        <is>
          <t>Long top plate (T&gt;=200mm)</t>
        </is>
      </c>
      <c r="D26" s="2" t="inlineStr">
        <is>
          <t>70mm</t>
        </is>
      </c>
      <c r="E26" s="2" t="inlineStr">
        <is>
          <t>Length&gt;=200mm</t>
        </is>
      </c>
      <c r="F26" s="2" t="inlineStr">
        <is>
          <t>Start InnerDimple at 16.5</t>
        </is>
      </c>
      <c r="G26" s="3" t="inlineStr">
        <is>
          <t>Yes</t>
        </is>
      </c>
      <c r="H26" s="2" t="inlineStr"/>
      <c r="I26" s="2" t="inlineStr"/>
      <c r="J26" s="2" t="inlineStr">
        <is>
          <t>—</t>
        </is>
      </c>
      <c r="K26" s="2" t="inlineStr">
        <is>
          <t>—</t>
        </is>
      </c>
      <c r="L26" s="2" t="inlineStr"/>
      <c r="M26" s="2" t="inlineStr"/>
      <c r="N26" s="2" t="inlineStr"/>
      <c r="O26" s="2" t="inlineStr"/>
      <c r="P26" s="2" t="inlineStr"/>
      <c r="Q26" s="2" t="inlineStr"/>
      <c r="R26" s="2" t="inlineStr"/>
    </row>
    <row r="27" ht="22" customHeight="1">
      <c r="A27" s="2" t="n">
        <v>26</v>
      </c>
      <c r="B27" s="2" t="inlineStr">
        <is>
          <t>E</t>
        </is>
      </c>
      <c r="C27" s="2" t="inlineStr">
        <is>
          <t>Long top plate (T&gt;=200mm)</t>
        </is>
      </c>
      <c r="D27" s="2" t="inlineStr">
        <is>
          <t>70mm</t>
        </is>
      </c>
      <c r="E27" s="2" t="inlineStr">
        <is>
          <t>Length&gt;=200mm</t>
        </is>
      </c>
      <c r="F27" s="2" t="inlineStr">
        <is>
          <t>End LipNotch span 39mm</t>
        </is>
      </c>
      <c r="G27" s="3" t="inlineStr">
        <is>
          <t>Yes</t>
        </is>
      </c>
      <c r="H27" s="2" t="inlineStr"/>
      <c r="I27" s="2" t="inlineStr"/>
      <c r="J27" s="2" t="inlineStr">
        <is>
          <t>—</t>
        </is>
      </c>
      <c r="K27" s="2" t="inlineStr">
        <is>
          <t>—</t>
        </is>
      </c>
      <c r="L27" s="2" t="inlineStr"/>
      <c r="M27" s="2" t="inlineStr"/>
      <c r="N27" s="2" t="inlineStr"/>
      <c r="O27" s="2" t="inlineStr"/>
      <c r="P27" s="2" t="inlineStr"/>
      <c r="Q27" s="2" t="inlineStr"/>
      <c r="R27" s="2" t="inlineStr"/>
    </row>
    <row r="28" ht="22" customHeight="1">
      <c r="A28" s="2" t="n">
        <v>27</v>
      </c>
      <c r="B28" s="2" t="inlineStr">
        <is>
          <t>E</t>
        </is>
      </c>
      <c r="C28" s="2" t="inlineStr">
        <is>
          <t>Long top plate (T&gt;=200mm)</t>
        </is>
      </c>
      <c r="D28" s="2" t="inlineStr">
        <is>
          <t>70mm</t>
        </is>
      </c>
      <c r="E28" s="2" t="inlineStr">
        <is>
          <t>Length&gt;=200mm</t>
        </is>
      </c>
      <c r="F28" s="2" t="inlineStr">
        <is>
          <t>End InnerDimple at length-16.5</t>
        </is>
      </c>
      <c r="G28" s="3" t="inlineStr">
        <is>
          <t>Yes</t>
        </is>
      </c>
      <c r="H28" s="2" t="inlineStr"/>
      <c r="I28" s="2" t="inlineStr"/>
      <c r="J28" s="2" t="inlineStr">
        <is>
          <t>—</t>
        </is>
      </c>
      <c r="K28" s="2" t="inlineStr">
        <is>
          <t>—</t>
        </is>
      </c>
      <c r="L28" s="2" t="inlineStr"/>
      <c r="M28" s="2" t="inlineStr"/>
      <c r="N28" s="2" t="inlineStr"/>
      <c r="O28" s="2" t="inlineStr"/>
      <c r="P28" s="2" t="inlineStr"/>
      <c r="Q28" s="2" t="inlineStr"/>
      <c r="R28" s="2" t="inlineStr"/>
    </row>
    <row r="29" ht="120" customHeight="1">
      <c r="A29" s="2" t="n">
        <v>28</v>
      </c>
      <c r="B29" s="2" t="inlineStr">
        <is>
          <t>E</t>
        </is>
      </c>
      <c r="C29" s="2" t="inlineStr">
        <is>
          <t>Long top plate (T&gt;=200mm)</t>
        </is>
      </c>
      <c r="D29" s="2" t="inlineStr">
        <is>
          <t>70mm</t>
        </is>
      </c>
      <c r="E29" s="2" t="inlineStr">
        <is>
          <t>DELIBERATELY NOT EMITTED</t>
        </is>
      </c>
      <c r="F29" s="2" t="inlineStr">
        <is>
          <t>InnerNotch on long T plates</t>
        </is>
      </c>
      <c r="G29" s="4" t="inlineStr">
        <is>
          <t>No</t>
        </is>
      </c>
      <c r="H29" s="5" t="inlineStr">
        <is>
          <t>HG260001
GF-LBW-70.075
frame PK4-L4
stick T1</t>
        </is>
      </c>
      <c r="I29" s="2" t="inlineStr">
        <is>
          <t>When SHOULD a long T plate get InnerNotch? At king-stud crossings only? Above openings? At plate joints?</t>
        </is>
      </c>
      <c r="J29" s="2" t="inlineStr">
        <is>
          <t>4,637 sticks / 277 pairs</t>
        </is>
      </c>
      <c r="K29" s="2" t="inlineStr">
        <is>
          <t>moderate</t>
        </is>
      </c>
      <c r="L29" s="2" t="inlineStr">
        <is>
          <t>WHAT WE EMIT: Nothing — InnerNotch on long top plates is DELIBERATELY DISABLED. Blind emission produced 100 extras vs only 12 matches.
WHAT DETAILER DOES: SOME long T plates DO get InnerNotches. We just haven't found the discriminator.
WHAT I NEED FROM YOU: When does a long T plate get an InnerNotch? At king-stud crossings only? Above openings? At plate joints?</t>
        </is>
      </c>
      <c r="M29" s="6" t="inlineStr">
        <is>
          <t xml:space="preserve">THE RULE SHOULD FIRE WHEN: 
THE VALUES ARE: 
IT SHOULD NOT FIRE WHEN: 
WHY (physical reason): </t>
        </is>
      </c>
      <c r="N29" s="7">
        <f>HYPERLINK("file:///C:/Users/Scott/CLAUDE CODE/hytek-rfy-codec/docs/rule-pdfs/rule-28.pdf","rule-28.pdf")</f>
        <v/>
      </c>
      <c r="O29" s="7">
        <f>HYPERLINK("file:///Y:/(17) 2026 HYTEK PROJECTS/CORAL HOMES/HG260001 LOT 289 (29) COORA CRESENT CURRIMUNDI/06 MANUFACTURING/02 DRAWINGS MANUFACTURING/01 LGS/HG260001 LOT 289 COORA CRESCENT CURRIMUNDI 4551-GF-LBW-70.075.pdf","HG260001 LOT 289 COORA CRESCENT CURRIMUNDI 4551-GF")</f>
        <v/>
      </c>
      <c r="P29" s="7">
        <f>HYPERLINK("file:///Y:/(17) 2026 HYTEK PROJECTS/CORAL HOMES/HG260001 LOT 289 (29) COORA CRESENT CURRIMUNDI/01 PROJECT DOCUMENTATION/02 CURRENT DOCS/01 PDF/CONSTRUCTION DETAILS.pdf","CONSTRUCTION DETAILS.pdf")</f>
        <v/>
      </c>
      <c r="Q29" s="7">
        <f>HYPERLINK("file:///Y:/(17) 2026 HYTEK PROJECTS/CORAL HOMES/HG260001 LOT 289 (29) COORA CRESENT CURRIMUNDI/03 DETAILING/03 FRAMECAD DETAILER/HG260001 LOT 289 (29) COORA CRESENT CURRIMUNDI.fcp","HG260001 LOT 289 (29) COORA CRESENT CURRIMUNDI.fcp")</f>
        <v/>
      </c>
      <c r="R29" s="7">
        <f>HYPERLINK("file:///Y:/(17) 2026 HYTEK PROJECTS/CORAL HOMES/HG260001 LOT 289 (29) COORA CRESENT CURRIMUNDI/03 DETAILING/03 FRAMECAD DETAILER/01 XML OUTPUT/HG260001 LOT 289 COORA CRESCENT CURRIMUNDI 4551-GF-LBW-70.075.xml","HG260001 LOT 289 COORA CRESCENT CURRIMUNDI 4551-GF")</f>
        <v/>
      </c>
    </row>
    <row r="30" ht="120" customHeight="1">
      <c r="A30" s="2" t="n">
        <v>29</v>
      </c>
      <c r="B30" s="2" t="inlineStr">
        <is>
          <t>E</t>
        </is>
      </c>
      <c r="C30" s="2" t="inlineStr">
        <is>
          <t>Long top plate (T&gt;=200mm)</t>
        </is>
      </c>
      <c r="D30" s="2" t="inlineStr">
        <is>
          <t>70mm</t>
        </is>
      </c>
      <c r="E30" s="2" t="inlineStr">
        <is>
          <t>DELIBERATELY NOT EMITTED</t>
        </is>
      </c>
      <c r="F30" s="2" t="inlineStr">
        <is>
          <t>InnerService holes on T plates</t>
        </is>
      </c>
      <c r="G30" s="4" t="inlineStr">
        <is>
          <t>No</t>
        </is>
      </c>
      <c r="H30" s="5" t="inlineStr">
        <is>
          <t>HG260001
GF-LBW-70.075
frame PK4-L4
stick T1</t>
        </is>
      </c>
      <c r="I30" s="2" t="inlineStr">
        <is>
          <t>Which T plates get service holes? Same electrical-data discriminator as rule 5/6?</t>
        </is>
      </c>
      <c r="J30" s="2" t="inlineStr">
        <is>
          <t>4,637 sticks / 277 pairs</t>
        </is>
      </c>
      <c r="K30" s="2" t="inlineStr">
        <is>
          <t>moderate</t>
        </is>
      </c>
      <c r="L30" s="2" t="inlineStr">
        <is>
          <t>WHAT WE EMIT: Nothing — InnerService holes on T plates are DELIBERATELY DISABLED. Blind emission produced 256 extras vs 14 missing.
MY HYPOTHESIS: Same as rule 5/6 — Detailer reads electrical-services data we don't import.
WHAT I NEED FROM YOU: What tells Detailer to put service holes on a particular top plate?</t>
        </is>
      </c>
      <c r="M30" s="6" t="inlineStr">
        <is>
          <t xml:space="preserve">THE RULE SHOULD FIRE WHEN: 
THE VALUES ARE: 
IT SHOULD NOT FIRE WHEN: 
WHY (physical reason): </t>
        </is>
      </c>
      <c r="N30" s="7">
        <f>HYPERLINK("file:///C:/Users/Scott/CLAUDE CODE/hytek-rfy-codec/docs/rule-pdfs/rule-29.pdf","rule-29.pdf")</f>
        <v/>
      </c>
      <c r="O30" s="7">
        <f>HYPERLINK("file:///Y:/(17) 2026 HYTEK PROJECTS/CORAL HOMES/HG260001 LOT 289 (29) COORA CRESENT CURRIMUNDI/06 MANUFACTURING/02 DRAWINGS MANUFACTURING/01 LGS/HG260001 LOT 289 COORA CRESCENT CURRIMUNDI 4551-GF-LBW-70.075.pdf","HG260001 LOT 289 COORA CRESCENT CURRIMUNDI 4551-GF")</f>
        <v/>
      </c>
      <c r="P30" s="7">
        <f>HYPERLINK("file:///Y:/(17) 2026 HYTEK PROJECTS/CORAL HOMES/HG260001 LOT 289 (29) COORA CRESENT CURRIMUNDI/01 PROJECT DOCUMENTATION/02 CURRENT DOCS/01 PDF/AC LAYOUT.pdf","AC LAYOUT.pdf")</f>
        <v/>
      </c>
      <c r="Q30" s="7">
        <f>HYPERLINK("file:///Y:/(17) 2026 HYTEK PROJECTS/CORAL HOMES/HG260001 LOT 289 (29) COORA CRESENT CURRIMUNDI/03 DETAILING/03 FRAMECAD DETAILER/HG260001 LOT 289 (29) COORA CRESENT CURRIMUNDI.fcp","HG260001 LOT 289 (29) COORA CRESENT CURRIMUNDI.fcp")</f>
        <v/>
      </c>
      <c r="R30" s="7">
        <f>HYPERLINK("file:///Y:/(17) 2026 HYTEK PROJECTS/CORAL HOMES/HG260001 LOT 289 (29) COORA CRESENT CURRIMUNDI/03 DETAILING/03 FRAMECAD DETAILER/01 XML OUTPUT/HG260001 LOT 289 COORA CRESCENT CURRIMUNDI 4551-GF-LBW-70.075.xml","HG260001 LOT 289 COORA CRESCENT CURRIMUNDI 4551-GF")</f>
        <v/>
      </c>
    </row>
    <row r="31" ht="120" customHeight="1">
      <c r="A31" s="2" t="n">
        <v>30</v>
      </c>
      <c r="B31" s="2" t="inlineStr">
        <is>
          <t>E</t>
        </is>
      </c>
      <c r="C31" s="2" t="inlineStr">
        <is>
          <t>Long top plate (T&gt;=200mm)</t>
        </is>
      </c>
      <c r="D31" s="2" t="inlineStr">
        <is>
          <t>89mm</t>
        </is>
      </c>
      <c r="E31" s="2" t="inlineStr">
        <is>
          <t>Length&gt;=200mm</t>
        </is>
      </c>
      <c r="F31" s="2" t="inlineStr">
        <is>
          <t>Same 4-op pattern as 70mm</t>
        </is>
      </c>
      <c r="G31" s="4" t="inlineStr">
        <is>
          <t>No</t>
        </is>
      </c>
      <c r="H31" s="5" t="inlineStr">
        <is>
          <t>HG260012
TH01-GF-LBW-89.075
frame L1101
stick T1</t>
        </is>
      </c>
      <c r="I31" s="2" t="inlineStr">
        <is>
          <t>Do 89mm long T plates match 70mm pattern?</t>
        </is>
      </c>
      <c r="J31" s="2" t="inlineStr">
        <is>
          <t>1,041 sticks / 102 pairs</t>
        </is>
      </c>
      <c r="K31" s="2" t="inlineStr">
        <is>
          <t>small</t>
        </is>
      </c>
      <c r="L31" s="2" t="inlineStr">
        <is>
          <t>Same shape as rule 8 — 89mm long T plates use the 70mm pattern. Confirm or correct.</t>
        </is>
      </c>
      <c r="M31" s="6" t="inlineStr">
        <is>
          <t xml:space="preserve">THE RULE SHOULD FIRE WHEN: 
THE VALUES ARE: 
IT SHOULD NOT FIRE WHEN: 
WHY (physical reason): </t>
        </is>
      </c>
      <c r="N31" s="7">
        <f>HYPERLINK("file:///C:/Users/Scott/CLAUDE CODE/hytek-rfy-codec/docs/rule-pdfs/rule-30.pdf","rule-30.pdf")</f>
        <v/>
      </c>
      <c r="O31" s="7">
        <f>HYPERLINK("file:///Y:/(17) 2026 HYTEK PROJECTS/AKAM CONSTRUCTIONS/HG260012 23 SPRINGWOOD ST TOWNHOUSES/06 MANUFACTURING/02 DRAWINGS MANUFACTURING/01 LGS/TH01-02/HG260012 [Akam] 23 Springwood Street -TH01-02-TH01-GF-LBW-89.075.pdf","HG260012 [Akam] 23 Springwood Street -TH01-02-TH01")</f>
        <v/>
      </c>
      <c r="P31" s="7">
        <f>HYPERLINK("file:///Y:/(17) 2026 HYTEK PROJECTS/AKAM CONSTRUCTIONS/HG260012 23 SPRINGWOOD ST TOWNHOUSES/01 PROJECT DOCUMENTATION/02 CURRENT DOCS/01 PDF/188. 23 Springwood St - Issue For Construction plan set.pdf","188. 23 Springwood St - Issue For Construction pla")</f>
        <v/>
      </c>
      <c r="Q31" s="7">
        <f>HYPERLINK("file:///Y:/(17) 2026 HYTEK PROJECTS/AKAM CONSTRUCTIONS/HG260012 23 SPRINGWOOD ST TOWNHOUSES/03 DETAILING/03 FRAMECAD DETAILER/HG260012 [Akam] 23 Springwood Street -TH01-02.fcp","HG260012 [Akam] 23 Springwood Street -TH01-02.fcp")</f>
        <v/>
      </c>
      <c r="R31" s="7">
        <f>HYPERLINK("file:///Y:/(17) 2026 HYTEK PROJECTS/AKAM CONSTRUCTIONS/HG260012 23 SPRINGWOOD ST TOWNHOUSES/03 DETAILING/03 FRAMECAD DETAILER/01 XML OUTPUT/HG260012 [Akam] 23 Springwood Street -TH01-02-TH01-GF-LBW-89.075.xml","HG260012 [Akam] 23 Springwood Street -TH01-02-TH01")</f>
        <v/>
      </c>
    </row>
    <row r="32" ht="22" customHeight="1">
      <c r="A32" s="2" t="n">
        <v>31</v>
      </c>
      <c r="B32" s="2" t="inlineStr">
        <is>
          <t>F</t>
        </is>
      </c>
      <c r="C32" s="2" t="inlineStr">
        <is>
          <t>Bottom plate (B, Bp)</t>
        </is>
      </c>
      <c r="D32" s="2" t="inlineStr">
        <is>
          <t>70mm</t>
        </is>
      </c>
      <c r="E32" s="2" t="inlineStr">
        <is>
          <t>Always</t>
        </is>
      </c>
      <c r="F32" s="2" t="inlineStr">
        <is>
          <t>Start LipNotch span 39mm</t>
        </is>
      </c>
      <c r="G32" s="3" t="inlineStr">
        <is>
          <t>Yes</t>
        </is>
      </c>
      <c r="H32" s="2" t="inlineStr"/>
      <c r="I32" s="2" t="inlineStr"/>
      <c r="J32" s="2" t="inlineStr">
        <is>
          <t>—</t>
        </is>
      </c>
      <c r="K32" s="2" t="inlineStr">
        <is>
          <t>—</t>
        </is>
      </c>
      <c r="L32" s="2" t="inlineStr"/>
      <c r="M32" s="2" t="inlineStr"/>
      <c r="N32" s="2" t="inlineStr"/>
      <c r="O32" s="2" t="inlineStr"/>
      <c r="P32" s="2" t="inlineStr"/>
      <c r="Q32" s="2" t="inlineStr"/>
      <c r="R32" s="2" t="inlineStr"/>
    </row>
    <row r="33" ht="130" customHeight="1">
      <c r="A33" s="2" t="n">
        <v>32</v>
      </c>
      <c r="B33" s="2" t="inlineStr">
        <is>
          <t>F</t>
        </is>
      </c>
      <c r="C33" s="2" t="inlineStr">
        <is>
          <t>Bottom plate (B, Bp)</t>
        </is>
      </c>
      <c r="D33" s="2" t="inlineStr">
        <is>
          <t>70mm</t>
        </is>
      </c>
      <c r="E33" s="2" t="inlineStr">
        <is>
          <t>Primary B + GF + LBW/NLBW</t>
        </is>
      </c>
      <c r="F33" s="2" t="inlineStr">
        <is>
          <t>Start Web hole at 8mm (slab wiring)</t>
        </is>
      </c>
      <c r="G33" s="4" t="inlineStr">
        <is>
          <t>No</t>
        </is>
      </c>
      <c r="H33" s="5" t="inlineStr">
        <is>
          <t>HG260001
GF-LBW-70.075
frame PK1-N1
stick B1</t>
        </is>
      </c>
      <c r="I33" s="2" t="inlineStr">
        <is>
          <t>Confirm gates: primary B (B1 or &gt;=1500mm) + ground floor + wall plan?</t>
        </is>
      </c>
      <c r="J33" s="2" t="inlineStr">
        <is>
          <t>3,360 sticks / 94 pairs</t>
        </is>
      </c>
      <c r="K33" s="2" t="inlineStr">
        <is>
          <t>moderate</t>
        </is>
      </c>
      <c r="L33" s="2" t="inlineStr">
        <is>
          <t>WHAT WE EMIT: A Web hole at 8mm from the start of a 70mm bottom plate, but only when ALL THREE conditions are true: (a) the plate is 'primary' (B1, OR length &gt;= 1500mm), (b) the plan name has '-GF-' (ground floor), (c) the plan is LBW or NLBW.
WHAT DETAILER DOES: This is what I observed across 4 corpora — but the rule was assembled by trial-and-error. B-sub-plates above doors, non-ground-floor walls, and truss/joist plans don't get Web@8.
WHAT I NEED FROM YOU: Confirm the three gates. Is 8mm the right offset? Any 89mm-specific differences?</t>
        </is>
      </c>
      <c r="M33" s="6" t="inlineStr">
        <is>
          <t xml:space="preserve">THE RULE SHOULD FIRE WHEN: 
THE VALUES ARE: 
IT SHOULD NOT FIRE WHEN: 
WHY (physical reason): </t>
        </is>
      </c>
      <c r="N33" s="7">
        <f>HYPERLINK("file:///C:/Users/Scott/CLAUDE CODE/hytek-rfy-codec/docs/rule-pdfs/rule-32.pdf","rule-32.pdf")</f>
        <v/>
      </c>
      <c r="O33" s="7">
        <f>HYPERLINK("file:///Y:/(17) 2026 HYTEK PROJECTS/CORAL HOMES/HG260001 LOT 289 (29) COORA CRESENT CURRIMUNDI/06 MANUFACTURING/02 DRAWINGS MANUFACTURING/01 LGS/HG260001 LOT 289 COORA CRESCENT CURRIMUNDI 4551-GF-LBW-70.075.pdf","HG260001 LOT 289 COORA CRESCENT CURRIMUNDI 4551-GF")</f>
        <v/>
      </c>
      <c r="P33" s="7">
        <f>HYPERLINK("file:///Y:/(17) 2026 HYTEK PROJECTS/CORAL HOMES/HG260001 LOT 289 (29) COORA CRESENT CURRIMUNDI/01 PROJECT DOCUMENTATION/02 CURRENT DOCS/01 PDF/SLAB DESIGN.pdf","SLAB DESIGN.pdf")</f>
        <v/>
      </c>
      <c r="Q33" s="7">
        <f>HYPERLINK("file:///Y:/(17) 2026 HYTEK PROJECTS/CORAL HOMES/HG260001 LOT 289 (29) COORA CRESENT CURRIMUNDI/03 DETAILING/03 FRAMECAD DETAILER/HG260001 LOT 289 (29) COORA CRESENT CURRIMUNDI.fcp","HG260001 LOT 289 (29) COORA CRESENT CURRIMUNDI.fcp")</f>
        <v/>
      </c>
      <c r="R33" s="7">
        <f>HYPERLINK("file:///Y:/(17) 2026 HYTEK PROJECTS/CORAL HOMES/HG260001 LOT 289 (29) COORA CRESENT CURRIMUNDI/03 DETAILING/03 FRAMECAD DETAILER/01 XML OUTPUT/HG260001 LOT 289 COORA CRESCENT CURRIMUNDI 4551-GF-LBW-70.075.xml","HG260001 LOT 289 COORA CRESCENT CURRIMUNDI 4551-GF")</f>
        <v/>
      </c>
    </row>
    <row r="34" ht="22" customHeight="1">
      <c r="A34" s="2" t="n">
        <v>33</v>
      </c>
      <c r="B34" s="2" t="inlineStr">
        <is>
          <t>F</t>
        </is>
      </c>
      <c r="C34" s="2" t="inlineStr">
        <is>
          <t>Bottom plate (B, Bp)</t>
        </is>
      </c>
      <c r="D34" s="2" t="inlineStr">
        <is>
          <t>70mm</t>
        </is>
      </c>
      <c r="E34" s="2" t="inlineStr">
        <is>
          <t>Always</t>
        </is>
      </c>
      <c r="F34" s="2" t="inlineStr">
        <is>
          <t>Start InnerDimple at 16.5</t>
        </is>
      </c>
      <c r="G34" s="3" t="inlineStr">
        <is>
          <t>Yes</t>
        </is>
      </c>
      <c r="H34" s="2" t="inlineStr"/>
      <c r="I34" s="2" t="inlineStr"/>
      <c r="J34" s="2" t="inlineStr">
        <is>
          <t>—</t>
        </is>
      </c>
      <c r="K34" s="2" t="inlineStr">
        <is>
          <t>—</t>
        </is>
      </c>
      <c r="L34" s="2" t="inlineStr"/>
      <c r="M34" s="2" t="inlineStr"/>
      <c r="N34" s="2" t="inlineStr"/>
      <c r="O34" s="2" t="inlineStr"/>
      <c r="P34" s="2" t="inlineStr"/>
      <c r="Q34" s="2" t="inlineStr"/>
      <c r="R34" s="2" t="inlineStr"/>
    </row>
    <row r="35" ht="120" customHeight="1">
      <c r="A35" s="2" t="n">
        <v>34</v>
      </c>
      <c r="B35" s="2" t="inlineStr">
        <is>
          <t>F</t>
        </is>
      </c>
      <c r="C35" s="2" t="inlineStr">
        <is>
          <t>Bottom plate (B, Bp)</t>
        </is>
      </c>
      <c r="D35" s="2" t="inlineStr">
        <is>
          <t>70mm</t>
        </is>
      </c>
      <c r="E35" s="2" t="inlineStr">
        <is>
          <t>Same gates as rule 32</t>
        </is>
      </c>
      <c r="F35" s="2" t="inlineStr">
        <is>
          <t>Start Bolt at 62mm (slab anchor)</t>
        </is>
      </c>
      <c r="G35" s="4" t="inlineStr">
        <is>
          <t>No</t>
        </is>
      </c>
      <c r="H35" s="5" t="inlineStr">
        <is>
          <t>HG260001
GF-LBW-70.075
frame PK1-N1
stick B1</t>
        </is>
      </c>
      <c r="I35" s="2" t="inlineStr">
        <is>
          <t>Where does the 62mm offset come from? Always 62 or scales with profile/bolt spec? Middle bolts on long plates?</t>
        </is>
      </c>
      <c r="J35" s="2" t="inlineStr">
        <is>
          <t>3,360 sticks / 94 pairs</t>
        </is>
      </c>
      <c r="K35" s="2" t="inlineStr">
        <is>
          <t>moderate</t>
        </is>
      </c>
      <c r="L35" s="2" t="inlineStr">
        <is>
          <t>WHAT WE EMIT: A Bolt at 62mm from the start of a primary ground-floor B plate. Same gates as rule 32.
WHAT WORRIES ME: 62mm isn't documented. The setup field 'boltHoleToEnd' = 20 doesn't match. 62mm is empirical.
WHAT I NEED FROM YOU: Where does 62mm come from? Always 62 or scales with plate length / bolt spec? For long plates, do you put MORE bolts in the middle?</t>
        </is>
      </c>
      <c r="M35" s="6" t="inlineStr">
        <is>
          <t xml:space="preserve">THE RULE SHOULD FIRE WHEN: 
THE VALUES ARE: 
IT SHOULD NOT FIRE WHEN: 
WHY (physical reason): </t>
        </is>
      </c>
      <c r="N35" s="7">
        <f>HYPERLINK("file:///C:/Users/Scott/CLAUDE CODE/hytek-rfy-codec/docs/rule-pdfs/rule-34.pdf","rule-34.pdf")</f>
        <v/>
      </c>
      <c r="O35" s="7">
        <f>HYPERLINK("file:///Y:/(17) 2026 HYTEK PROJECTS/CORAL HOMES/HG260001 LOT 289 (29) COORA CRESENT CURRIMUNDI/06 MANUFACTURING/02 DRAWINGS MANUFACTURING/01 LGS/HG260001 LOT 289 COORA CRESCENT CURRIMUNDI 4551-GF-LBW-70.075.pdf","HG260001 LOT 289 COORA CRESCENT CURRIMUNDI 4551-GF")</f>
        <v/>
      </c>
      <c r="P35" s="7">
        <f>HYPERLINK("file:///Y:/(17) 2026 HYTEK PROJECTS/CORAL HOMES/HG260001 LOT 289 (29) COORA CRESENT CURRIMUNDI/01 PROJECT DOCUMENTATION/02 CURRENT DOCS/01 PDF/SLAB DESIGN.pdf","SLAB DESIGN.pdf")</f>
        <v/>
      </c>
      <c r="Q35" s="7">
        <f>HYPERLINK("file:///Y:/(17) 2026 HYTEK PROJECTS/CORAL HOMES/HG260001 LOT 289 (29) COORA CRESENT CURRIMUNDI/03 DETAILING/03 FRAMECAD DETAILER/HG260001 LOT 289 (29) COORA CRESENT CURRIMUNDI.fcp","HG260001 LOT 289 (29) COORA CRESENT CURRIMUNDI.fcp")</f>
        <v/>
      </c>
      <c r="R35" s="7">
        <f>HYPERLINK("file:///Y:/(17) 2026 HYTEK PROJECTS/CORAL HOMES/HG260001 LOT 289 (29) COORA CRESENT CURRIMUNDI/03 DETAILING/03 FRAMECAD DETAILER/01 XML OUTPUT/HG260001 LOT 289 COORA CRESCENT CURRIMUNDI 4551-GF-LBW-70.075.xml","HG260001 LOT 289 COORA CRESCENT CURRIMUNDI 4551-GF")</f>
        <v/>
      </c>
    </row>
    <row r="36" ht="22" customHeight="1">
      <c r="A36" s="2" t="n">
        <v>35</v>
      </c>
      <c r="B36" s="2" t="inlineStr">
        <is>
          <t>F</t>
        </is>
      </c>
      <c r="C36" s="2" t="inlineStr">
        <is>
          <t>Bottom plate (B, Bp)</t>
        </is>
      </c>
      <c r="D36" s="2" t="inlineStr">
        <is>
          <t>70mm</t>
        </is>
      </c>
      <c r="E36" s="2" t="inlineStr">
        <is>
          <t>Always</t>
        </is>
      </c>
      <c r="F36" s="2" t="inlineStr">
        <is>
          <t>End LipNotch span 39mm</t>
        </is>
      </c>
      <c r="G36" s="3" t="inlineStr">
        <is>
          <t>Yes</t>
        </is>
      </c>
      <c r="H36" s="2" t="inlineStr"/>
      <c r="I36" s="2" t="inlineStr"/>
      <c r="J36" s="2" t="inlineStr">
        <is>
          <t>—</t>
        </is>
      </c>
      <c r="K36" s="2" t="inlineStr">
        <is>
          <t>—</t>
        </is>
      </c>
      <c r="L36" s="2" t="inlineStr"/>
      <c r="M36" s="2" t="inlineStr"/>
      <c r="N36" s="2" t="inlineStr"/>
      <c r="O36" s="2" t="inlineStr"/>
      <c r="P36" s="2" t="inlineStr"/>
      <c r="Q36" s="2" t="inlineStr"/>
      <c r="R36" s="2" t="inlineStr"/>
    </row>
    <row r="37" ht="120" customHeight="1">
      <c r="A37" s="2" t="n">
        <v>36</v>
      </c>
      <c r="B37" s="2" t="inlineStr">
        <is>
          <t>F</t>
        </is>
      </c>
      <c r="C37" s="2" t="inlineStr">
        <is>
          <t>Bottom plate (B, Bp)</t>
        </is>
      </c>
      <c r="D37" s="2" t="inlineStr">
        <is>
          <t>70mm</t>
        </is>
      </c>
      <c r="E37" s="2" t="inlineStr">
        <is>
          <t>Same gates as rule 32</t>
        </is>
      </c>
      <c r="F37" s="2" t="inlineStr">
        <is>
          <t>End Bolt at length-62</t>
        </is>
      </c>
      <c r="G37" s="4" t="inlineStr">
        <is>
          <t>No</t>
        </is>
      </c>
      <c r="H37" s="5" t="inlineStr">
        <is>
          <t>HG260001
GF-LBW-70.075
frame PK1-N1
stick B1</t>
        </is>
      </c>
      <c r="I37" s="2" t="inlineStr">
        <is>
          <t>Same as rule 34 (mirror at end).</t>
        </is>
      </c>
      <c r="J37" s="2" t="inlineStr">
        <is>
          <t>3,360 sticks / 94 pairs</t>
        </is>
      </c>
      <c r="K37" s="2" t="inlineStr">
        <is>
          <t>moderate</t>
        </is>
      </c>
      <c r="L37" s="2" t="inlineStr">
        <is>
          <t>Mirror of rule 34 at the end. Once 34 is settled, this follows. ALSO: when the plate is short, does it still get bolts at both ends or just one centered?</t>
        </is>
      </c>
      <c r="M37" s="6" t="inlineStr">
        <is>
          <t xml:space="preserve">THE RULE SHOULD FIRE WHEN: 
THE VALUES ARE: 
IT SHOULD NOT FIRE WHEN: 
WHY (physical reason): </t>
        </is>
      </c>
      <c r="N37" s="7">
        <f>HYPERLINK("file:///C:/Users/Scott/CLAUDE CODE/hytek-rfy-codec/docs/rule-pdfs/rule-36.pdf","rule-36.pdf")</f>
        <v/>
      </c>
      <c r="O37" s="7">
        <f>HYPERLINK("file:///Y:/(17) 2026 HYTEK PROJECTS/CORAL HOMES/HG260001 LOT 289 (29) COORA CRESENT CURRIMUNDI/06 MANUFACTURING/02 DRAWINGS MANUFACTURING/01 LGS/HG260001 LOT 289 COORA CRESCENT CURRIMUNDI 4551-GF-LBW-70.075.pdf","HG260001 LOT 289 COORA CRESCENT CURRIMUNDI 4551-GF")</f>
        <v/>
      </c>
      <c r="P37" s="7">
        <f>HYPERLINK("file:///Y:/(17) 2026 HYTEK PROJECTS/CORAL HOMES/HG260001 LOT 289 (29) COORA CRESENT CURRIMUNDI/01 PROJECT DOCUMENTATION/02 CURRENT DOCS/01 PDF/SLAB DESIGN.pdf","SLAB DESIGN.pdf")</f>
        <v/>
      </c>
      <c r="Q37" s="7">
        <f>HYPERLINK("file:///Y:/(17) 2026 HYTEK PROJECTS/CORAL HOMES/HG260001 LOT 289 (29) COORA CRESENT CURRIMUNDI/03 DETAILING/03 FRAMECAD DETAILER/HG260001 LOT 289 (29) COORA CRESENT CURRIMUNDI.fcp","HG260001 LOT 289 (29) COORA CRESENT CURRIMUNDI.fcp")</f>
        <v/>
      </c>
      <c r="R37" s="7">
        <f>HYPERLINK("file:///Y:/(17) 2026 HYTEK PROJECTS/CORAL HOMES/HG260001 LOT 289 (29) COORA CRESENT CURRIMUNDI/03 DETAILING/03 FRAMECAD DETAILER/01 XML OUTPUT/HG260001 LOT 289 COORA CRESCENT CURRIMUNDI 4551-GF-LBW-70.075.xml","HG260001 LOT 289 COORA CRESCENT CURRIMUNDI 4551-GF")</f>
        <v/>
      </c>
    </row>
    <row r="38" ht="22" customHeight="1">
      <c r="A38" s="2" t="n">
        <v>37</v>
      </c>
      <c r="B38" s="2" t="inlineStr">
        <is>
          <t>F</t>
        </is>
      </c>
      <c r="C38" s="2" t="inlineStr">
        <is>
          <t>Bottom plate (B, Bp)</t>
        </is>
      </c>
      <c r="D38" s="2" t="inlineStr">
        <is>
          <t>70mm</t>
        </is>
      </c>
      <c r="E38" s="2" t="inlineStr">
        <is>
          <t>Always</t>
        </is>
      </c>
      <c r="F38" s="2" t="inlineStr">
        <is>
          <t>End InnerDimple at length-16.5</t>
        </is>
      </c>
      <c r="G38" s="3" t="inlineStr">
        <is>
          <t>Yes</t>
        </is>
      </c>
      <c r="H38" s="2" t="inlineStr"/>
      <c r="I38" s="2" t="inlineStr"/>
      <c r="J38" s="2" t="inlineStr">
        <is>
          <t>—</t>
        </is>
      </c>
      <c r="K38" s="2" t="inlineStr">
        <is>
          <t>—</t>
        </is>
      </c>
      <c r="L38" s="2" t="inlineStr"/>
      <c r="M38" s="2" t="inlineStr"/>
      <c r="N38" s="2" t="inlineStr"/>
      <c r="O38" s="2" t="inlineStr"/>
      <c r="P38" s="2" t="inlineStr"/>
      <c r="Q38" s="2" t="inlineStr"/>
      <c r="R38" s="2" t="inlineStr"/>
    </row>
    <row r="39" ht="120" customHeight="1">
      <c r="A39" s="2" t="n">
        <v>38</v>
      </c>
      <c r="B39" s="2" t="inlineStr">
        <is>
          <t>F</t>
        </is>
      </c>
      <c r="C39" s="2" t="inlineStr">
        <is>
          <t>Bottom plate (B, Bp)</t>
        </is>
      </c>
      <c r="D39" s="2" t="inlineStr">
        <is>
          <t>89mm</t>
        </is>
      </c>
      <c r="E39" s="2" t="inlineStr">
        <is>
          <t>Same gates as rule 32 + gauge&lt;1.0</t>
        </is>
      </c>
      <c r="F39" s="2" t="inlineStr">
        <is>
          <t>Slab anchor pattern (Web@8 + Bolts@62)</t>
        </is>
      </c>
      <c r="G39" s="4" t="inlineStr">
        <is>
          <t>No</t>
        </is>
      </c>
      <c r="H39" s="5" t="inlineStr">
        <is>
          <t>HG250082
GF-NLBW-89.075
frame N3
stick B2</t>
        </is>
      </c>
      <c r="I39" s="2" t="inlineStr">
        <is>
          <t>Do thicker 89mm B plates (gauge &gt;=1.0) really skip slab bolts in real production?</t>
        </is>
      </c>
      <c r="J39" s="2" t="inlineStr">
        <is>
          <t>1,282 sticks / 75 pairs</t>
        </is>
      </c>
      <c r="K39" s="2" t="inlineStr">
        <is>
          <t>small</t>
        </is>
      </c>
      <c r="L39" s="2" t="inlineStr">
        <is>
          <t>WHAT WE EMIT: 89mm bottom plates get the slab-anchor pattern (Web@8 + Bolt@62 each end) ONLY when gauge &lt; 1.0mm.
WHAT DETAILER DOES: HG260044 GF-NLBW-89.075 (gauge 0.75) has Web@8 + Bolt@~50. Single corpus. We have no 89mm B-plate samples at gauge 1.0+.
WHAT I NEED FROM YOU: Do thicker (1.0+, 1.15) 89mm plates really skip slab bolts in real production?</t>
        </is>
      </c>
      <c r="M39" s="6" t="inlineStr">
        <is>
          <t xml:space="preserve">THE RULE SHOULD FIRE WHEN: 
THE VALUES ARE: 
IT SHOULD NOT FIRE WHEN: 
WHY (physical reason): </t>
        </is>
      </c>
      <c r="N39" s="7">
        <f>HYPERLINK("file:///C:/Users/Scott/CLAUDE CODE/hytek-rfy-codec/docs/rule-pdfs/rule-38.pdf","rule-38.pdf")</f>
        <v/>
      </c>
      <c r="O39" s="7">
        <f>HYPERLINK("file:///Y:/(14) 2025 HYTEK PROJECTS/ROHRIG/HG250082 FLAGSTONE OSHC/06 MANUFACTURING/06 REWORK/250082-001 TOILET WALLS/02 LAYOUTS/HG250082 FLAGSTONE OSHC LGS TOILET PARTITIONS-AMENITIES-GF-NLBW-89.075.pdf","HG250082 FLAGSTONE OSHC LGS TOILET PARTITIONS-AMEN")</f>
        <v/>
      </c>
      <c r="P39" s="2" t="inlineStr"/>
      <c r="Q39" s="7">
        <f>HYPERLINK("file:///Y:/(14) 2025 HYTEK PROJECTS/ROHRIG/HG250082 FLAGSTONE OSHC/03 DETAILING/03 FRAMECAD DETAILER/HG250082 FLAGSTONE OSH.fcp","HG250082 FLAGSTONE OSH.fcp")</f>
        <v/>
      </c>
      <c r="R39" s="7">
        <f>HYPERLINK("file:///Y:/(14) 2025 HYTEK PROJECTS/ROHRIG/HG250082 FLAGSTONE OSHC/03 DETAILING/03 FRAMECAD DETAILER/01 XML OUTPUT/HG250082 FLAGSTONE OSHC LGS_Rev2-GF-NLBW-89.075.xml","HG250082 FLAGSTONE OSHC LGS_Rev2-GF-NLBW-89.075.xm")</f>
        <v/>
      </c>
    </row>
    <row r="40" ht="22" customHeight="1">
      <c r="A40" s="2" t="n">
        <v>39</v>
      </c>
      <c r="B40" s="2" t="inlineStr">
        <is>
          <t>G</t>
        </is>
      </c>
      <c r="C40" s="2" t="inlineStr">
        <is>
          <t>Raised B plate (Bh)</t>
        </is>
      </c>
      <c r="D40" s="2" t="inlineStr">
        <is>
          <t>70mm</t>
        </is>
      </c>
      <c r="E40" s="2" t="inlineStr">
        <is>
          <t>Always</t>
        </is>
      </c>
      <c r="F40" s="2" t="inlineStr">
        <is>
          <t>Start InnerNotch span 39mm</t>
        </is>
      </c>
      <c r="G40" s="3" t="inlineStr">
        <is>
          <t>Yes</t>
        </is>
      </c>
      <c r="H40" s="2" t="inlineStr"/>
      <c r="I40" s="2" t="inlineStr"/>
      <c r="J40" s="2" t="inlineStr">
        <is>
          <t>—</t>
        </is>
      </c>
      <c r="K40" s="2" t="inlineStr">
        <is>
          <t>—</t>
        </is>
      </c>
      <c r="L40" s="2" t="inlineStr"/>
      <c r="M40" s="2" t="inlineStr"/>
      <c r="N40" s="2" t="inlineStr"/>
      <c r="O40" s="2" t="inlineStr"/>
      <c r="P40" s="2" t="inlineStr"/>
      <c r="Q40" s="2" t="inlineStr"/>
      <c r="R40" s="2" t="inlineStr"/>
    </row>
    <row r="41" ht="22" customHeight="1">
      <c r="A41" s="2" t="n">
        <v>40</v>
      </c>
      <c r="B41" s="2" t="inlineStr">
        <is>
          <t>G</t>
        </is>
      </c>
      <c r="C41" s="2" t="inlineStr">
        <is>
          <t>Raised B plate (Bh)</t>
        </is>
      </c>
      <c r="D41" s="2" t="inlineStr">
        <is>
          <t>70mm</t>
        </is>
      </c>
      <c r="E41" s="2" t="inlineStr">
        <is>
          <t>Always</t>
        </is>
      </c>
      <c r="F41" s="2" t="inlineStr">
        <is>
          <t>Start LipNotch span 39mm</t>
        </is>
      </c>
      <c r="G41" s="3" t="inlineStr">
        <is>
          <t>Yes</t>
        </is>
      </c>
      <c r="H41" s="2" t="inlineStr"/>
      <c r="I41" s="2" t="inlineStr"/>
      <c r="J41" s="2" t="inlineStr">
        <is>
          <t>—</t>
        </is>
      </c>
      <c r="K41" s="2" t="inlineStr">
        <is>
          <t>—</t>
        </is>
      </c>
      <c r="L41" s="2" t="inlineStr"/>
      <c r="M41" s="2" t="inlineStr"/>
      <c r="N41" s="2" t="inlineStr"/>
      <c r="O41" s="2" t="inlineStr"/>
      <c r="P41" s="2" t="inlineStr"/>
      <c r="Q41" s="2" t="inlineStr"/>
      <c r="R41" s="2" t="inlineStr"/>
    </row>
    <row r="42" ht="22" customHeight="1">
      <c r="A42" s="2" t="n">
        <v>41</v>
      </c>
      <c r="B42" s="2" t="inlineStr">
        <is>
          <t>G</t>
        </is>
      </c>
      <c r="C42" s="2" t="inlineStr">
        <is>
          <t>Raised B plate (Bh)</t>
        </is>
      </c>
      <c r="D42" s="2" t="inlineStr">
        <is>
          <t>70mm</t>
        </is>
      </c>
      <c r="E42" s="2" t="inlineStr">
        <is>
          <t>Always</t>
        </is>
      </c>
      <c r="F42" s="2" t="inlineStr">
        <is>
          <t>Start InnerDimple at 16.5</t>
        </is>
      </c>
      <c r="G42" s="3" t="inlineStr">
        <is>
          <t>Yes</t>
        </is>
      </c>
      <c r="H42" s="2" t="inlineStr"/>
      <c r="I42" s="2" t="inlineStr"/>
      <c r="J42" s="2" t="inlineStr">
        <is>
          <t>—</t>
        </is>
      </c>
      <c r="K42" s="2" t="inlineStr">
        <is>
          <t>—</t>
        </is>
      </c>
      <c r="L42" s="2" t="inlineStr"/>
      <c r="M42" s="2" t="inlineStr"/>
      <c r="N42" s="2" t="inlineStr"/>
      <c r="O42" s="2" t="inlineStr"/>
      <c r="P42" s="2" t="inlineStr"/>
      <c r="Q42" s="2" t="inlineStr"/>
      <c r="R42" s="2" t="inlineStr"/>
    </row>
    <row r="43" ht="120" customHeight="1">
      <c r="A43" s="2" t="n">
        <v>42</v>
      </c>
      <c r="B43" s="2" t="inlineStr">
        <is>
          <t>G</t>
        </is>
      </c>
      <c r="C43" s="2" t="inlineStr">
        <is>
          <t>Raised B plate (Bh)</t>
        </is>
      </c>
      <c r="D43" s="2" t="inlineStr">
        <is>
          <t>70mm</t>
        </is>
      </c>
      <c r="E43" s="2" t="inlineStr">
        <is>
          <t>NLBW only</t>
        </is>
      </c>
      <c r="F43" s="2" t="inlineStr">
        <is>
          <t>Start Web@8 + Bolt@62 (slab anchor on raised B)</t>
        </is>
      </c>
      <c r="G43" s="4" t="inlineStr">
        <is>
          <t>No</t>
        </is>
      </c>
      <c r="H43" s="5" t="inlineStr">
        <is>
          <t>HG260001
GF-NLBW-70.075
frame PK1-N14
stick B1</t>
        </is>
      </c>
      <c r="I43" s="2" t="inlineStr">
        <is>
          <t>WHY does NLBW raised B get slab anchors but LBW raised B doesn't?</t>
        </is>
      </c>
      <c r="J43" s="2" t="inlineStr">
        <is>
          <t>0 sticks / 0 pairs</t>
        </is>
      </c>
      <c r="K43" s="2" t="inlineStr">
        <is>
          <t>small</t>
        </is>
      </c>
      <c r="L43" s="2" t="inlineStr">
        <is>
          <t>WHAT WE EMIT: Raised B plates (Bh, the rough opening sill above doors at z=elevation+61.5mm) get slab-anchor ops (Web@8 + Bolt@62) ONLY on NLBW plans. LBW raised B doesn't get them.
WHAT DETAILER DOES: HG260001 PK1 N14/B1 (NLBW raised B at length 1872, z=61.5) has cap notches AND Web@8 + Bolt@62. PK4 L4/B2 (LBW raised B) only has cap notches.
WHAT I NEED FROM YOU: WHY does NLBW raised B get slab anchors but LBW raised B doesn't? Is it the load path? Opening type? Wall load class?</t>
        </is>
      </c>
      <c r="M43" s="6" t="inlineStr">
        <is>
          <t xml:space="preserve">THE RULE SHOULD FIRE WHEN: 
THE VALUES ARE: 
IT SHOULD NOT FIRE WHEN: 
WHY (physical reason): </t>
        </is>
      </c>
      <c r="N43" s="7">
        <f>HYPERLINK("file:///C:/Users/Scott/CLAUDE CODE/hytek-rfy-codec/docs/rule-pdfs/rule-42.pdf","rule-42.pdf")</f>
        <v/>
      </c>
      <c r="O43" s="7">
        <f>HYPERLINK("file:///Y:/(17) 2026 HYTEK PROJECTS/CORAL HOMES/HG260001 LOT 289 (29) COORA CRESENT CURRIMUNDI/06 MANUFACTURING/02 DRAWINGS MANUFACTURING/01 LGS/HG260001 LOT 289 COORA CRESCENT CURRIMUNDI 4551-GF-NLBW-70.075.pdf","HG260001 LOT 289 COORA CRESCENT CURRIMUNDI 4551-GF")</f>
        <v/>
      </c>
      <c r="P43" s="7">
        <f>HYPERLINK("file:///Y:/(17) 2026 HYTEK PROJECTS/CORAL HOMES/HG260001 LOT 289 (29) COORA CRESENT CURRIMUNDI/01 PROJECT DOCUMENTATION/02 CURRENT DOCS/01 PDF/SLAB DESIGN.pdf","SLAB DESIGN.pdf")</f>
        <v/>
      </c>
      <c r="Q43" s="7">
        <f>HYPERLINK("file:///Y:/(17) 2026 HYTEK PROJECTS/CORAL HOMES/HG260001 LOT 289 (29) COORA CRESENT CURRIMUNDI/03 DETAILING/03 FRAMECAD DETAILER/HG260001 LOT 289 (29) COORA CRESENT CURRIMUNDI.fcp","HG260001 LOT 289 (29) COORA CRESENT CURRIMUNDI.fcp")</f>
        <v/>
      </c>
      <c r="R43" s="7">
        <f>HYPERLINK("file:///Y:/(17) 2026 HYTEK PROJECTS/CORAL HOMES/HG260001 LOT 289 (29) COORA CRESENT CURRIMUNDI/03 DETAILING/03 FRAMECAD DETAILER/01 XML OUTPUT/HG260001 LOT 289 COORA CRESCENT CURRIMUNDI 4551-GF-NLBW-70.075.xml","HG260001 LOT 289 COORA CRESCENT CURRIMUNDI 4551-GF")</f>
        <v/>
      </c>
    </row>
    <row r="44" ht="120" customHeight="1">
      <c r="A44" s="2" t="n">
        <v>43</v>
      </c>
      <c r="B44" s="2" t="inlineStr">
        <is>
          <t>G</t>
        </is>
      </c>
      <c r="C44" s="2" t="inlineStr">
        <is>
          <t>Raised B plate (Bh)</t>
        </is>
      </c>
      <c r="D44" s="2" t="inlineStr">
        <is>
          <t>70mm</t>
        </is>
      </c>
      <c r="E44" s="2" t="inlineStr">
        <is>
          <t>NLBW only</t>
        </is>
      </c>
      <c r="F44" s="2" t="inlineStr">
        <is>
          <t>End Bolt at length-62</t>
        </is>
      </c>
      <c r="G44" s="4" t="inlineStr">
        <is>
          <t>No</t>
        </is>
      </c>
      <c r="H44" s="5" t="inlineStr">
        <is>
          <t>HG260001
GF-NLBW-70.075
frame PK1-N14
stick B1</t>
        </is>
      </c>
      <c r="I44" s="2" t="inlineStr">
        <is>
          <t>Same as rule 42 (mirror at end).</t>
        </is>
      </c>
      <c r="J44" s="2" t="inlineStr">
        <is>
          <t>0 sticks / 0 pairs</t>
        </is>
      </c>
      <c r="K44" s="2" t="inlineStr">
        <is>
          <t>small</t>
        </is>
      </c>
      <c r="L44" s="2" t="inlineStr">
        <is>
          <t>Mirror of rule 42 at the end.</t>
        </is>
      </c>
      <c r="M44" s="6" t="inlineStr">
        <is>
          <t xml:space="preserve">THE RULE SHOULD FIRE WHEN: 
THE VALUES ARE: 
IT SHOULD NOT FIRE WHEN: 
WHY (physical reason): </t>
        </is>
      </c>
      <c r="N44" s="7">
        <f>HYPERLINK("file:///C:/Users/Scott/CLAUDE CODE/hytek-rfy-codec/docs/rule-pdfs/rule-43.pdf","rule-43.pdf")</f>
        <v/>
      </c>
      <c r="O44" s="7">
        <f>HYPERLINK("file:///Y:/(17) 2026 HYTEK PROJECTS/CORAL HOMES/HG260001 LOT 289 (29) COORA CRESENT CURRIMUNDI/06 MANUFACTURING/02 DRAWINGS MANUFACTURING/01 LGS/HG260001 LOT 289 COORA CRESCENT CURRIMUNDI 4551-GF-NLBW-70.075.pdf","HG260001 LOT 289 COORA CRESCENT CURRIMUNDI 4551-GF")</f>
        <v/>
      </c>
      <c r="P44" s="7">
        <f>HYPERLINK("file:///Y:/(17) 2026 HYTEK PROJECTS/CORAL HOMES/HG260001 LOT 289 (29) COORA CRESENT CURRIMUNDI/01 PROJECT DOCUMENTATION/02 CURRENT DOCS/01 PDF/SLAB DESIGN.pdf","SLAB DESIGN.pdf")</f>
        <v/>
      </c>
      <c r="Q44" s="7">
        <f>HYPERLINK("file:///Y:/(17) 2026 HYTEK PROJECTS/CORAL HOMES/HG260001 LOT 289 (29) COORA CRESENT CURRIMUNDI/03 DETAILING/03 FRAMECAD DETAILER/HG260001 LOT 289 (29) COORA CRESENT CURRIMUNDI.fcp","HG260001 LOT 289 (29) COORA CRESENT CURRIMUNDI.fcp")</f>
        <v/>
      </c>
      <c r="R44" s="7">
        <f>HYPERLINK("file:///Y:/(17) 2026 HYTEK PROJECTS/CORAL HOMES/HG260001 LOT 289 (29) COORA CRESENT CURRIMUNDI/03 DETAILING/03 FRAMECAD DETAILER/01 XML OUTPUT/HG260001 LOT 289 COORA CRESCENT CURRIMUNDI 4551-GF-NLBW-70.075.xml","HG260001 LOT 289 COORA CRESCENT CURRIMUNDI 4551-GF")</f>
        <v/>
      </c>
    </row>
    <row r="45" ht="22" customHeight="1">
      <c r="A45" s="2" t="n">
        <v>44</v>
      </c>
      <c r="B45" s="2" t="inlineStr">
        <is>
          <t>G</t>
        </is>
      </c>
      <c r="C45" s="2" t="inlineStr">
        <is>
          <t>Raised B plate (Bh)</t>
        </is>
      </c>
      <c r="D45" s="2" t="inlineStr">
        <is>
          <t>70mm</t>
        </is>
      </c>
      <c r="E45" s="2" t="inlineStr">
        <is>
          <t>Always</t>
        </is>
      </c>
      <c r="F45" s="2" t="inlineStr">
        <is>
          <t>End InnerDimple at length-16.5</t>
        </is>
      </c>
      <c r="G45" s="3" t="inlineStr">
        <is>
          <t>Yes</t>
        </is>
      </c>
      <c r="H45" s="2" t="inlineStr"/>
      <c r="I45" s="2" t="inlineStr"/>
      <c r="J45" s="2" t="inlineStr">
        <is>
          <t>—</t>
        </is>
      </c>
      <c r="K45" s="2" t="inlineStr">
        <is>
          <t>—</t>
        </is>
      </c>
      <c r="L45" s="2" t="inlineStr"/>
      <c r="M45" s="2" t="inlineStr"/>
      <c r="N45" s="2" t="inlineStr"/>
      <c r="O45" s="2" t="inlineStr"/>
      <c r="P45" s="2" t="inlineStr"/>
      <c r="Q45" s="2" t="inlineStr"/>
      <c r="R45" s="2" t="inlineStr"/>
    </row>
    <row r="46" ht="22" customHeight="1">
      <c r="A46" s="2" t="n">
        <v>45</v>
      </c>
      <c r="B46" s="2" t="inlineStr">
        <is>
          <t>G</t>
        </is>
      </c>
      <c r="C46" s="2" t="inlineStr">
        <is>
          <t>Raised B plate (Bh)</t>
        </is>
      </c>
      <c r="D46" s="2" t="inlineStr">
        <is>
          <t>70mm</t>
        </is>
      </c>
      <c r="E46" s="2" t="inlineStr">
        <is>
          <t>Always</t>
        </is>
      </c>
      <c r="F46" s="2" t="inlineStr">
        <is>
          <t>End InnerNotch span 39mm</t>
        </is>
      </c>
      <c r="G46" s="3" t="inlineStr">
        <is>
          <t>Yes</t>
        </is>
      </c>
      <c r="H46" s="2" t="inlineStr"/>
      <c r="I46" s="2" t="inlineStr"/>
      <c r="J46" s="2" t="inlineStr">
        <is>
          <t>—</t>
        </is>
      </c>
      <c r="K46" s="2" t="inlineStr">
        <is>
          <t>—</t>
        </is>
      </c>
      <c r="L46" s="2" t="inlineStr"/>
      <c r="M46" s="2" t="inlineStr"/>
      <c r="N46" s="2" t="inlineStr"/>
      <c r="O46" s="2" t="inlineStr"/>
      <c r="P46" s="2" t="inlineStr"/>
      <c r="Q46" s="2" t="inlineStr"/>
      <c r="R46" s="2" t="inlineStr"/>
    </row>
    <row r="47" ht="22" customHeight="1">
      <c r="A47" s="2" t="n">
        <v>46</v>
      </c>
      <c r="B47" s="2" t="inlineStr">
        <is>
          <t>G</t>
        </is>
      </c>
      <c r="C47" s="2" t="inlineStr">
        <is>
          <t>Raised B plate (Bh)</t>
        </is>
      </c>
      <c r="D47" s="2" t="inlineStr">
        <is>
          <t>70mm</t>
        </is>
      </c>
      <c r="E47" s="2" t="inlineStr">
        <is>
          <t>Always</t>
        </is>
      </c>
      <c r="F47" s="2" t="inlineStr">
        <is>
          <t>End LipNotch span 39mm</t>
        </is>
      </c>
      <c r="G47" s="3" t="inlineStr">
        <is>
          <t>Yes</t>
        </is>
      </c>
      <c r="H47" s="2" t="inlineStr"/>
      <c r="I47" s="2" t="inlineStr"/>
      <c r="J47" s="2" t="inlineStr">
        <is>
          <t>—</t>
        </is>
      </c>
      <c r="K47" s="2" t="inlineStr">
        <is>
          <t>—</t>
        </is>
      </c>
      <c r="L47" s="2" t="inlineStr"/>
      <c r="M47" s="2" t="inlineStr"/>
      <c r="N47" s="2" t="inlineStr"/>
      <c r="O47" s="2" t="inlineStr"/>
      <c r="P47" s="2" t="inlineStr"/>
      <c r="Q47" s="2" t="inlineStr"/>
      <c r="R47" s="2" t="inlineStr"/>
    </row>
    <row r="48" ht="22" customHeight="1">
      <c r="A48" s="2" t="n">
        <v>47</v>
      </c>
      <c r="B48" s="2" t="inlineStr">
        <is>
          <t>G</t>
        </is>
      </c>
      <c r="C48" s="2" t="inlineStr">
        <is>
          <t>Raised B plate (Bh)</t>
        </is>
      </c>
      <c r="D48" s="2" t="inlineStr">
        <is>
          <t>89mm</t>
        </is>
      </c>
      <c r="E48" s="2" t="inlineStr">
        <is>
          <t>Always</t>
        </is>
      </c>
      <c r="F48" s="2" t="inlineStr">
        <is>
          <t>Header-style caps both ends, NO Web/Bolt</t>
        </is>
      </c>
      <c r="G48" s="3" t="inlineStr">
        <is>
          <t>Yes</t>
        </is>
      </c>
      <c r="H48" s="2" t="inlineStr"/>
      <c r="I48" s="2" t="inlineStr"/>
      <c r="J48" s="2" t="inlineStr">
        <is>
          <t>—</t>
        </is>
      </c>
      <c r="K48" s="2" t="inlineStr">
        <is>
          <t>—</t>
        </is>
      </c>
      <c r="L48" s="2" t="inlineStr"/>
      <c r="M48" s="2" t="inlineStr"/>
      <c r="N48" s="2" t="inlineStr"/>
      <c r="O48" s="2" t="inlineStr"/>
      <c r="P48" s="2" t="inlineStr"/>
      <c r="Q48" s="2" t="inlineStr"/>
      <c r="R48" s="2" t="inlineStr"/>
    </row>
    <row r="49" ht="22" customHeight="1">
      <c r="A49" s="2" t="n">
        <v>48</v>
      </c>
      <c r="B49" s="2" t="inlineStr">
        <is>
          <t>H</t>
        </is>
      </c>
      <c r="C49" s="2" t="inlineStr">
        <is>
          <t>Nogs (N) — door-head cripple</t>
        </is>
      </c>
      <c r="D49" s="2" t="inlineStr">
        <is>
          <t>70mm</t>
        </is>
      </c>
      <c r="E49" s="2" t="inlineStr">
        <is>
          <t>Length 162-168mm</t>
        </is>
      </c>
      <c r="F49" s="2" t="inlineStr">
        <is>
          <t>InnerNotch + LipNotch caps + Dimple@16.5 BOTH ends</t>
        </is>
      </c>
      <c r="G49" s="3" t="inlineStr">
        <is>
          <t>Yes</t>
        </is>
      </c>
      <c r="H49" s="2" t="inlineStr"/>
      <c r="I49" s="2" t="inlineStr"/>
      <c r="J49" s="2" t="inlineStr">
        <is>
          <t>—</t>
        </is>
      </c>
      <c r="K49" s="2" t="inlineStr">
        <is>
          <t>—</t>
        </is>
      </c>
      <c r="L49" s="2" t="inlineStr"/>
      <c r="M49" s="2" t="inlineStr"/>
      <c r="N49" s="2" t="inlineStr"/>
      <c r="O49" s="2" t="inlineStr"/>
      <c r="P49" s="2" t="inlineStr"/>
      <c r="Q49" s="2" t="inlineStr"/>
      <c r="R49" s="2" t="inlineStr"/>
    </row>
    <row r="50" ht="22" customHeight="1">
      <c r="A50" s="2" t="n">
        <v>49</v>
      </c>
      <c r="B50" s="2" t="inlineStr">
        <is>
          <t>H</t>
        </is>
      </c>
      <c r="C50" s="2" t="inlineStr">
        <is>
          <t>Nogs (N) — all other lengths</t>
        </is>
      </c>
      <c r="D50" s="2" t="inlineStr">
        <is>
          <t>70mm</t>
        </is>
      </c>
      <c r="E50" s="2" t="inlineStr">
        <is>
          <t>Length NOT in 162-168mm</t>
        </is>
      </c>
      <c r="F50" s="2" t="inlineStr">
        <is>
          <t>Swage caps + Dimple@16.5 BOTH ends</t>
        </is>
      </c>
      <c r="G50" s="3" t="inlineStr">
        <is>
          <t>Yes</t>
        </is>
      </c>
      <c r="H50" s="2" t="inlineStr"/>
      <c r="I50" s="2" t="inlineStr"/>
      <c r="J50" s="2" t="inlineStr">
        <is>
          <t>—</t>
        </is>
      </c>
      <c r="K50" s="2" t="inlineStr">
        <is>
          <t>—</t>
        </is>
      </c>
      <c r="L50" s="2" t="inlineStr"/>
      <c r="M50" s="2" t="inlineStr"/>
      <c r="N50" s="2" t="inlineStr"/>
      <c r="O50" s="2" t="inlineStr"/>
      <c r="P50" s="2" t="inlineStr"/>
      <c r="Q50" s="2" t="inlineStr"/>
      <c r="R50" s="2" t="inlineStr"/>
    </row>
    <row r="51" ht="120" customHeight="1">
      <c r="A51" s="2" t="n">
        <v>50</v>
      </c>
      <c r="B51" s="2" t="inlineStr">
        <is>
          <t>H</t>
        </is>
      </c>
      <c r="C51" s="2" t="inlineStr">
        <is>
          <t>Nogs (N)</t>
        </is>
      </c>
      <c r="D51" s="2" t="inlineStr">
        <is>
          <t>89mm</t>
        </is>
      </c>
      <c r="E51" s="2" t="inlineStr">
        <is>
          <t>Always (length-bucketed)</t>
        </is>
      </c>
      <c r="F51" s="2" t="inlineStr">
        <is>
          <t>Same pattern as 70mm with 89mm constants</t>
        </is>
      </c>
      <c r="G51" s="4" t="inlineStr">
        <is>
          <t>No</t>
        </is>
      </c>
      <c r="H51" s="5" t="inlineStr">
        <is>
          <t>HG260012
TH01-GF-LBW-89.075
frame L1001
stick N1</t>
        </is>
      </c>
      <c r="I51" s="2" t="inlineStr">
        <is>
          <t>Confirm 89mm nog uses same 162-168mm length bucket and same caps as 70mm.</t>
        </is>
      </c>
      <c r="J51" s="2" t="inlineStr">
        <is>
          <t>1,885 sticks / 83 pairs</t>
        </is>
      </c>
      <c r="K51" s="2" t="inlineStr">
        <is>
          <t>small</t>
        </is>
      </c>
      <c r="L51" s="2" t="inlineStr">
        <is>
          <t>Same shape as rule 8 — 89mm nogs use the 70mm length-bucketed pattern. Confirm 162-168mm bucket is the same; confirm cap pattern matches.</t>
        </is>
      </c>
      <c r="M51" s="6" t="inlineStr">
        <is>
          <t xml:space="preserve">THE RULE SHOULD FIRE WHEN: 
THE VALUES ARE: 
IT SHOULD NOT FIRE WHEN: 
WHY (physical reason): </t>
        </is>
      </c>
      <c r="N51" s="7">
        <f>HYPERLINK("file:///C:/Users/Scott/CLAUDE CODE/hytek-rfy-codec/docs/rule-pdfs/rule-50.pdf","rule-50.pdf")</f>
        <v/>
      </c>
      <c r="O51" s="7">
        <f>HYPERLINK("file:///Y:/(17) 2026 HYTEK PROJECTS/AKAM CONSTRUCTIONS/HG260012 23 SPRINGWOOD ST TOWNHOUSES/06 MANUFACTURING/02 DRAWINGS MANUFACTURING/01 LGS/TH01-02/HG260012 [Akam] 23 Springwood Street -TH01-02-TH01-GF-LBW-89.075.pdf","HG260012 [Akam] 23 Springwood Street -TH01-02-TH01")</f>
        <v/>
      </c>
      <c r="P51" s="7">
        <f>HYPERLINK("file:///Y:/(17) 2026 HYTEK PROJECTS/AKAM CONSTRUCTIONS/HG260012 23 SPRINGWOOD ST TOWNHOUSES/01 PROJECT DOCUMENTATION/02 CURRENT DOCS/01 PDF/188. 23 Springwood St - Issue For Construction plan set.pdf","188. 23 Springwood St - Issue For Construction pla")</f>
        <v/>
      </c>
      <c r="Q51" s="7">
        <f>HYPERLINK("file:///Y:/(17) 2026 HYTEK PROJECTS/AKAM CONSTRUCTIONS/HG260012 23 SPRINGWOOD ST TOWNHOUSES/03 DETAILING/03 FRAMECAD DETAILER/HG260012 [Akam] 23 Springwood Street -TH01-02.fcp","HG260012 [Akam] 23 Springwood Street -TH01-02.fcp")</f>
        <v/>
      </c>
      <c r="R51" s="7">
        <f>HYPERLINK("file:///Y:/(17) 2026 HYTEK PROJECTS/AKAM CONSTRUCTIONS/HG260012 23 SPRINGWOOD ST TOWNHOUSES/03 DETAILING/03 FRAMECAD DETAILER/01 XML OUTPUT/HG260012 [Akam] 23 Springwood Street -TH01-02-TH01-GF-LBW-89.075.xml","HG260012 [Akam] 23 Springwood Street -TH01-02-TH01")</f>
        <v/>
      </c>
    </row>
    <row r="52" ht="22" customHeight="1">
      <c r="A52" s="2" t="n">
        <v>51</v>
      </c>
      <c r="B52" s="2" t="inlineStr">
        <is>
          <t>I</t>
        </is>
      </c>
      <c r="C52" s="2" t="inlineStr">
        <is>
          <t>Header (H — full)</t>
        </is>
      </c>
      <c r="D52" s="2" t="inlineStr">
        <is>
          <t>70mm</t>
        </is>
      </c>
      <c r="E52" s="2" t="inlineStr">
        <is>
          <t>Always</t>
        </is>
      </c>
      <c r="F52" s="2" t="inlineStr">
        <is>
          <t>Start InnerNotch span 39mm</t>
        </is>
      </c>
      <c r="G52" s="3" t="inlineStr">
        <is>
          <t>Yes</t>
        </is>
      </c>
      <c r="H52" s="2" t="inlineStr"/>
      <c r="I52" s="2" t="inlineStr"/>
      <c r="J52" s="2" t="inlineStr">
        <is>
          <t>—</t>
        </is>
      </c>
      <c r="K52" s="2" t="inlineStr">
        <is>
          <t>—</t>
        </is>
      </c>
      <c r="L52" s="2" t="inlineStr"/>
      <c r="M52" s="2" t="inlineStr"/>
      <c r="N52" s="2" t="inlineStr"/>
      <c r="O52" s="2" t="inlineStr"/>
      <c r="P52" s="2" t="inlineStr"/>
      <c r="Q52" s="2" t="inlineStr"/>
      <c r="R52" s="2" t="inlineStr"/>
    </row>
    <row r="53" ht="22" customHeight="1">
      <c r="A53" s="2" t="n">
        <v>52</v>
      </c>
      <c r="B53" s="2" t="inlineStr">
        <is>
          <t>I</t>
        </is>
      </c>
      <c r="C53" s="2" t="inlineStr">
        <is>
          <t>Header (H — full)</t>
        </is>
      </c>
      <c r="D53" s="2" t="inlineStr">
        <is>
          <t>70mm</t>
        </is>
      </c>
      <c r="E53" s="2" t="inlineStr">
        <is>
          <t>Always</t>
        </is>
      </c>
      <c r="F53" s="2" t="inlineStr">
        <is>
          <t>Start LipNotch span 39mm</t>
        </is>
      </c>
      <c r="G53" s="3" t="inlineStr">
        <is>
          <t>Yes</t>
        </is>
      </c>
      <c r="H53" s="2" t="inlineStr"/>
      <c r="I53" s="2" t="inlineStr"/>
      <c r="J53" s="2" t="inlineStr">
        <is>
          <t>—</t>
        </is>
      </c>
      <c r="K53" s="2" t="inlineStr">
        <is>
          <t>—</t>
        </is>
      </c>
      <c r="L53" s="2" t="inlineStr"/>
      <c r="M53" s="2" t="inlineStr"/>
      <c r="N53" s="2" t="inlineStr"/>
      <c r="O53" s="2" t="inlineStr"/>
      <c r="P53" s="2" t="inlineStr"/>
      <c r="Q53" s="2" t="inlineStr"/>
      <c r="R53" s="2" t="inlineStr"/>
    </row>
    <row r="54" ht="22" customHeight="1">
      <c r="A54" s="2" t="n">
        <v>53</v>
      </c>
      <c r="B54" s="2" t="inlineStr">
        <is>
          <t>I</t>
        </is>
      </c>
      <c r="C54" s="2" t="inlineStr">
        <is>
          <t>Header (H — full)</t>
        </is>
      </c>
      <c r="D54" s="2" t="inlineStr">
        <is>
          <t>70mm</t>
        </is>
      </c>
      <c r="E54" s="2" t="inlineStr">
        <is>
          <t>Always</t>
        </is>
      </c>
      <c r="F54" s="2" t="inlineStr">
        <is>
          <t>Start InnerDimple at 16.5</t>
        </is>
      </c>
      <c r="G54" s="3" t="inlineStr">
        <is>
          <t>Yes</t>
        </is>
      </c>
      <c r="H54" s="2" t="inlineStr"/>
      <c r="I54" s="2" t="inlineStr"/>
      <c r="J54" s="2" t="inlineStr">
        <is>
          <t>—</t>
        </is>
      </c>
      <c r="K54" s="2" t="inlineStr">
        <is>
          <t>—</t>
        </is>
      </c>
      <c r="L54" s="2" t="inlineStr"/>
      <c r="M54" s="2" t="inlineStr"/>
      <c r="N54" s="2" t="inlineStr"/>
      <c r="O54" s="2" t="inlineStr"/>
      <c r="P54" s="2" t="inlineStr"/>
      <c r="Q54" s="2" t="inlineStr"/>
      <c r="R54" s="2" t="inlineStr"/>
    </row>
    <row r="55" ht="120" customHeight="1">
      <c r="A55" s="2" t="n">
        <v>54</v>
      </c>
      <c r="B55" s="2" t="inlineStr">
        <is>
          <t>I</t>
        </is>
      </c>
      <c r="C55" s="2" t="inlineStr">
        <is>
          <t>Header (H — full)</t>
        </is>
      </c>
      <c r="D55" s="2" t="inlineStr">
        <is>
          <t>70mm</t>
        </is>
      </c>
      <c r="E55" s="2" t="inlineStr">
        <is>
          <t>LBW only</t>
        </is>
      </c>
      <c r="F55" s="2" t="inlineStr">
        <is>
          <t>Start InnerDimple at 58.5 (paired)</t>
        </is>
      </c>
      <c r="G55" s="4" t="inlineStr">
        <is>
          <t>No</t>
        </is>
      </c>
      <c r="H55" s="5" t="inlineStr">
        <is>
          <t>HG260001
GF-LBW-70.075
frame PK4-L4
stick H1</t>
        </is>
      </c>
      <c r="I55" s="2" t="inlineStr">
        <is>
          <t>Same LBW-only question as rule 19. Why LBW-specific?</t>
        </is>
      </c>
      <c r="J55" s="2" t="inlineStr">
        <is>
          <t>933 sticks / 80 pairs</t>
        </is>
      </c>
      <c r="K55" s="2" t="inlineStr">
        <is>
          <t>small</t>
        </is>
      </c>
      <c r="L55" s="2" t="inlineStr">
        <is>
          <t>Same as rule 19 — full headers (70mm) get the paired 58.5 dimple LBW-only. Why LBW-specific? Same physical reason as the short T sub-plate?</t>
        </is>
      </c>
      <c r="M55" s="6" t="inlineStr">
        <is>
          <t xml:space="preserve">THE RULE SHOULD FIRE WHEN: 
THE VALUES ARE: 
IT SHOULD NOT FIRE WHEN: 
WHY (physical reason): </t>
        </is>
      </c>
      <c r="N55" s="7">
        <f>HYPERLINK("file:///C:/Users/Scott/CLAUDE CODE/hytek-rfy-codec/docs/rule-pdfs/rule-54.pdf","rule-54.pdf")</f>
        <v/>
      </c>
      <c r="O55" s="7">
        <f>HYPERLINK("file:///Y:/(17) 2026 HYTEK PROJECTS/CORAL HOMES/HG260001 LOT 289 (29) COORA CRESENT CURRIMUNDI/06 MANUFACTURING/02 DRAWINGS MANUFACTURING/01 LGS/HG260001 LOT 289 COORA CRESCENT CURRIMUNDI 4551-GF-LBW-70.075.pdf","HG260001 LOT 289 COORA CRESCENT CURRIMUNDI 4551-GF")</f>
        <v/>
      </c>
      <c r="P55" s="7">
        <f>HYPERLINK("file:///Y:/(17) 2026 HYTEK PROJECTS/CORAL HOMES/HG260001 LOT 289 (29) COORA CRESENT CURRIMUNDI/01 PROJECT DOCUMENTATION/02 CURRENT DOCS/01 PDF/43983 - TURNBULL - VO2 COLOUR- LBW MARKUP.pdf","43983 - TURNBULL - VO2 COLOUR- LBW MARKUP.pdf")</f>
        <v/>
      </c>
      <c r="Q55" s="7">
        <f>HYPERLINK("file:///Y:/(17) 2026 HYTEK PROJECTS/CORAL HOMES/HG260001 LOT 289 (29) COORA CRESENT CURRIMUNDI/03 DETAILING/03 FRAMECAD DETAILER/HG260001 LOT 289 (29) COORA CRESENT CURRIMUNDI.fcp","HG260001 LOT 289 (29) COORA CRESENT CURRIMUNDI.fcp")</f>
        <v/>
      </c>
      <c r="R55" s="7">
        <f>HYPERLINK("file:///Y:/(17) 2026 HYTEK PROJECTS/CORAL HOMES/HG260001 LOT 289 (29) COORA CRESENT CURRIMUNDI/03 DETAILING/03 FRAMECAD DETAILER/01 XML OUTPUT/HG260001 LOT 289 COORA CRESCENT CURRIMUNDI 4551-GF-LBW-70.075.xml","HG260001 LOT 289 COORA CRESCENT CURRIMUNDI 4551-GF")</f>
        <v/>
      </c>
    </row>
    <row r="56" ht="120" customHeight="1">
      <c r="A56" s="2" t="n">
        <v>55</v>
      </c>
      <c r="B56" s="2" t="inlineStr">
        <is>
          <t>I</t>
        </is>
      </c>
      <c r="C56" s="2" t="inlineStr">
        <is>
          <t>Header (H — full)</t>
        </is>
      </c>
      <c r="D56" s="2" t="inlineStr">
        <is>
          <t>70mm</t>
        </is>
      </c>
      <c r="E56" s="2" t="inlineStr">
        <is>
          <t>LBW only</t>
        </is>
      </c>
      <c r="F56" s="2" t="inlineStr">
        <is>
          <t>End InnerDimple at length-58.5</t>
        </is>
      </c>
      <c r="G56" s="4" t="inlineStr">
        <is>
          <t>No</t>
        </is>
      </c>
      <c r="H56" s="5" t="inlineStr">
        <is>
          <t>HG260001
GF-LBW-70.075
frame PK4-L4
stick H1</t>
        </is>
      </c>
      <c r="I56" s="2" t="inlineStr">
        <is>
          <t>Same as rule 54 (mirror at end).</t>
        </is>
      </c>
      <c r="J56" s="2" t="inlineStr">
        <is>
          <t>933 sticks / 80 pairs</t>
        </is>
      </c>
      <c r="K56" s="2" t="inlineStr">
        <is>
          <t>small</t>
        </is>
      </c>
      <c r="L56" s="2" t="inlineStr">
        <is>
          <t>Mirror of rule 54 at the end.</t>
        </is>
      </c>
      <c r="M56" s="6" t="inlineStr">
        <is>
          <t xml:space="preserve">THE RULE SHOULD FIRE WHEN: 
THE VALUES ARE: 
IT SHOULD NOT FIRE WHEN: 
WHY (physical reason): </t>
        </is>
      </c>
      <c r="N56" s="7">
        <f>HYPERLINK("file:///C:/Users/Scott/CLAUDE CODE/hytek-rfy-codec/docs/rule-pdfs/rule-55.pdf","rule-55.pdf")</f>
        <v/>
      </c>
      <c r="O56" s="7">
        <f>HYPERLINK("file:///Y:/(17) 2026 HYTEK PROJECTS/CORAL HOMES/HG260001 LOT 289 (29) COORA CRESENT CURRIMUNDI/06 MANUFACTURING/02 DRAWINGS MANUFACTURING/01 LGS/HG260001 LOT 289 COORA CRESCENT CURRIMUNDI 4551-GF-LBW-70.075.pdf","HG260001 LOT 289 COORA CRESCENT CURRIMUNDI 4551-GF")</f>
        <v/>
      </c>
      <c r="P56" s="7">
        <f>HYPERLINK("file:///Y:/(17) 2026 HYTEK PROJECTS/CORAL HOMES/HG260001 LOT 289 (29) COORA CRESENT CURRIMUNDI/01 PROJECT DOCUMENTATION/02 CURRENT DOCS/01 PDF/43983 - TURNBULL - VO2 COLOUR- LBW MARKUP.pdf","43983 - TURNBULL - VO2 COLOUR- LBW MARKUP.pdf")</f>
        <v/>
      </c>
      <c r="Q56" s="7">
        <f>HYPERLINK("file:///Y:/(17) 2026 HYTEK PROJECTS/CORAL HOMES/HG260001 LOT 289 (29) COORA CRESENT CURRIMUNDI/03 DETAILING/03 FRAMECAD DETAILER/HG260001 LOT 289 (29) COORA CRESENT CURRIMUNDI.fcp","HG260001 LOT 289 (29) COORA CRESENT CURRIMUNDI.fcp")</f>
        <v/>
      </c>
      <c r="R56" s="7">
        <f>HYPERLINK("file:///Y:/(17) 2026 HYTEK PROJECTS/CORAL HOMES/HG260001 LOT 289 (29) COORA CRESENT CURRIMUNDI/03 DETAILING/03 FRAMECAD DETAILER/01 XML OUTPUT/HG260001 LOT 289 COORA CRESCENT CURRIMUNDI 4551-GF-LBW-70.075.xml","HG260001 LOT 289 COORA CRESCENT CURRIMUNDI 4551-GF")</f>
        <v/>
      </c>
    </row>
    <row r="57" ht="22" customHeight="1">
      <c r="A57" s="2" t="n">
        <v>56</v>
      </c>
      <c r="B57" s="2" t="inlineStr">
        <is>
          <t>I</t>
        </is>
      </c>
      <c r="C57" s="2" t="inlineStr">
        <is>
          <t>Header (H — full)</t>
        </is>
      </c>
      <c r="D57" s="2" t="inlineStr">
        <is>
          <t>70mm</t>
        </is>
      </c>
      <c r="E57" s="2" t="inlineStr">
        <is>
          <t>Always</t>
        </is>
      </c>
      <c r="F57" s="2" t="inlineStr">
        <is>
          <t>End InnerDimple at length-16.5</t>
        </is>
      </c>
      <c r="G57" s="3" t="inlineStr">
        <is>
          <t>Yes</t>
        </is>
      </c>
      <c r="H57" s="2" t="inlineStr"/>
      <c r="I57" s="2" t="inlineStr"/>
      <c r="J57" s="2" t="inlineStr">
        <is>
          <t>—</t>
        </is>
      </c>
      <c r="K57" s="2" t="inlineStr">
        <is>
          <t>—</t>
        </is>
      </c>
      <c r="L57" s="2" t="inlineStr"/>
      <c r="M57" s="2" t="inlineStr"/>
      <c r="N57" s="2" t="inlineStr"/>
      <c r="O57" s="2" t="inlineStr"/>
      <c r="P57" s="2" t="inlineStr"/>
      <c r="Q57" s="2" t="inlineStr"/>
      <c r="R57" s="2" t="inlineStr"/>
    </row>
    <row r="58" ht="22" customHeight="1">
      <c r="A58" s="2" t="n">
        <v>57</v>
      </c>
      <c r="B58" s="2" t="inlineStr">
        <is>
          <t>I</t>
        </is>
      </c>
      <c r="C58" s="2" t="inlineStr">
        <is>
          <t>Header (H — full)</t>
        </is>
      </c>
      <c r="D58" s="2" t="inlineStr">
        <is>
          <t>70mm</t>
        </is>
      </c>
      <c r="E58" s="2" t="inlineStr">
        <is>
          <t>Always</t>
        </is>
      </c>
      <c r="F58" s="2" t="inlineStr">
        <is>
          <t>End InnerNotch span 39mm</t>
        </is>
      </c>
      <c r="G58" s="3" t="inlineStr">
        <is>
          <t>Yes</t>
        </is>
      </c>
      <c r="H58" s="2" t="inlineStr"/>
      <c r="I58" s="2" t="inlineStr"/>
      <c r="J58" s="2" t="inlineStr">
        <is>
          <t>—</t>
        </is>
      </c>
      <c r="K58" s="2" t="inlineStr">
        <is>
          <t>—</t>
        </is>
      </c>
      <c r="L58" s="2" t="inlineStr"/>
      <c r="M58" s="2" t="inlineStr"/>
      <c r="N58" s="2" t="inlineStr"/>
      <c r="O58" s="2" t="inlineStr"/>
      <c r="P58" s="2" t="inlineStr"/>
      <c r="Q58" s="2" t="inlineStr"/>
      <c r="R58" s="2" t="inlineStr"/>
    </row>
    <row r="59" ht="22" customHeight="1">
      <c r="A59" s="2" t="n">
        <v>58</v>
      </c>
      <c r="B59" s="2" t="inlineStr">
        <is>
          <t>I</t>
        </is>
      </c>
      <c r="C59" s="2" t="inlineStr">
        <is>
          <t>Header (H — full)</t>
        </is>
      </c>
      <c r="D59" s="2" t="inlineStr">
        <is>
          <t>70mm</t>
        </is>
      </c>
      <c r="E59" s="2" t="inlineStr">
        <is>
          <t>Always</t>
        </is>
      </c>
      <c r="F59" s="2" t="inlineStr">
        <is>
          <t>End LipNotch span 39mm</t>
        </is>
      </c>
      <c r="G59" s="3" t="inlineStr">
        <is>
          <t>Yes</t>
        </is>
      </c>
      <c r="H59" s="2" t="inlineStr"/>
      <c r="I59" s="2" t="inlineStr"/>
      <c r="J59" s="2" t="inlineStr">
        <is>
          <t>—</t>
        </is>
      </c>
      <c r="K59" s="2" t="inlineStr">
        <is>
          <t>—</t>
        </is>
      </c>
      <c r="L59" s="2" t="inlineStr"/>
      <c r="M59" s="2" t="inlineStr"/>
      <c r="N59" s="2" t="inlineStr"/>
      <c r="O59" s="2" t="inlineStr"/>
      <c r="P59" s="2" t="inlineStr"/>
      <c r="Q59" s="2" t="inlineStr"/>
      <c r="R59" s="2" t="inlineStr"/>
    </row>
    <row r="60" ht="169" customHeight="1">
      <c r="A60" s="2" t="n">
        <v>59</v>
      </c>
      <c r="B60" s="2" t="inlineStr">
        <is>
          <t>I</t>
        </is>
      </c>
      <c r="C60" s="2" t="inlineStr">
        <is>
          <t>Header (H — full)</t>
        </is>
      </c>
      <c r="D60" s="2" t="inlineStr">
        <is>
          <t>70mm</t>
        </is>
      </c>
      <c r="E60" s="2" t="inlineStr">
        <is>
          <t>H1 or H3 in paired-header frame</t>
        </is>
      </c>
      <c r="F60" s="2" t="inlineStr">
        <is>
          <t>Web stiffener holes evenly distributed</t>
        </is>
      </c>
      <c r="G60" s="4" t="inlineStr">
        <is>
          <t>No</t>
        </is>
      </c>
      <c r="H60" s="5" t="inlineStr">
        <is>
          <t>HG260001
GF-LBW-70.075
frame PK4-L4
stick H1</t>
        </is>
      </c>
      <c r="I60" s="2" t="inlineStr">
        <is>
          <t>What physically makes a header 'paired' (box vs single-section)? When does the rule fire?</t>
        </is>
      </c>
      <c r="J60" s="2" t="inlineStr">
        <is>
          <t>1,101 sticks / 145 pairs</t>
        </is>
      </c>
      <c r="K60" s="2" t="inlineStr">
        <is>
          <t>moderate</t>
        </is>
      </c>
      <c r="L60" s="2" t="inlineStr">
        <is>
          <t>WHAT WE EMIT: Sticks named H1 or H3 in frames that have a 'paired header' (frame contains H2 or H3 alongside H1) get web stiffener holes evenly distributed. Spacing: 89mm offset from each end, max 300mm between holes.
WHAT DETAILER DOES: HG260001 LBW H1/H3 corpus (10 frames) match. Single-H frames (just H1, no H2) don't show stiffener holes.
MY HYPOTHESIS: A 'paired header' is a built-up box header (two C-sections back-to-back) for wider openings or higher loads.
WHAT I NEED FROM YOU: What physically creates a paired header — span width? Load class? Specific frame type? Architectural detail? Are stiffeners only on H1/H3, or do H2 also get them?</t>
        </is>
      </c>
      <c r="M60" s="6" t="inlineStr">
        <is>
          <t xml:space="preserve">THE RULE SHOULD FIRE WHEN: 
THE VALUES ARE: 
IT SHOULD NOT FIRE WHEN: 
WHY (physical reason): </t>
        </is>
      </c>
      <c r="N60" s="7">
        <f>HYPERLINK("file:///C:/Users/Scott/CLAUDE CODE/hytek-rfy-codec/docs/rule-pdfs/rule-59.pdf","rule-59.pdf")</f>
        <v/>
      </c>
      <c r="O60" s="7">
        <f>HYPERLINK("file:///Y:/(17) 2026 HYTEK PROJECTS/CORAL HOMES/HG260001 LOT 289 (29) COORA CRESENT CURRIMUNDI/06 MANUFACTURING/02 DRAWINGS MANUFACTURING/01 LGS/HG260001 LOT 289 COORA CRESCENT CURRIMUNDI 4551-GF-LBW-70.075.pdf","HG260001 LOT 289 COORA CRESCENT CURRIMUNDI 4551-GF")</f>
        <v/>
      </c>
      <c r="P60" s="7">
        <f>HYPERLINK("file:///Y:/(17) 2026 HYTEK PROJECTS/CORAL HOMES/HG260001 LOT 289 (29) COORA CRESENT CURRIMUNDI/01 PROJECT DOCUMENTATION/02 CURRENT DOCS/01 PDF/CONSTRUCTION DETAILS.pdf","CONSTRUCTION DETAILS.pdf")</f>
        <v/>
      </c>
      <c r="Q60" s="7">
        <f>HYPERLINK("file:///Y:/(17) 2026 HYTEK PROJECTS/CORAL HOMES/HG260001 LOT 289 (29) COORA CRESENT CURRIMUNDI/03 DETAILING/03 FRAMECAD DETAILER/HG260001 LOT 289 (29) COORA CRESENT CURRIMUNDI.fcp","HG260001 LOT 289 (29) COORA CRESENT CURRIMUNDI.fcp")</f>
        <v/>
      </c>
      <c r="R60" s="7">
        <f>HYPERLINK("file:///Y:/(17) 2026 HYTEK PROJECTS/CORAL HOMES/HG260001 LOT 289 (29) COORA CRESENT CURRIMUNDI/03 DETAILING/03 FRAMECAD DETAILER/01 XML OUTPUT/HG260001 LOT 289 COORA CRESCENT CURRIMUNDI 4551-GF-LBW-70.075.xml","HG260001 LOT 289 COORA CRESCENT CURRIMUNDI 4551-GF")</f>
        <v/>
      </c>
    </row>
    <row r="61" ht="120" customHeight="1">
      <c r="A61" s="2" t="n">
        <v>60</v>
      </c>
      <c r="B61" s="2" t="inlineStr">
        <is>
          <t>I</t>
        </is>
      </c>
      <c r="C61" s="2" t="inlineStr">
        <is>
          <t>Header (H — full)</t>
        </is>
      </c>
      <c r="D61" s="2" t="inlineStr">
        <is>
          <t>89mm</t>
        </is>
      </c>
      <c r="E61" s="2" t="inlineStr">
        <is>
          <t>Always</t>
        </is>
      </c>
      <c r="F61" s="2" t="inlineStr">
        <is>
          <t>Caps + paired dimples at 16.5 AND 58.5 always both ends</t>
        </is>
      </c>
      <c r="G61" s="4" t="inlineStr">
        <is>
          <t>No</t>
        </is>
      </c>
      <c r="H61" s="5" t="inlineStr">
        <is>
          <t>HG260012
TH01-GF-LBW-89.075
frame L1001
stick H1</t>
        </is>
      </c>
      <c r="I61" s="2" t="inlineStr">
        <is>
          <t>Do 89mm NLBW headers also get the paired 58.5 dimple?</t>
        </is>
      </c>
      <c r="J61" s="2" t="inlineStr">
        <is>
          <t>532 sticks / 65 pairs</t>
        </is>
      </c>
      <c r="K61" s="2" t="inlineStr">
        <is>
          <t>small</t>
        </is>
      </c>
      <c r="L61" s="2" t="inlineStr">
        <is>
          <t>WHAT WE EMIT: 89mm headers ALWAYS get the paired 58.5 dimple at both ends, regardless of LBW/NLBW. (70mm only on LBW.)
WHAT WORRIES ME: My 89mm header sample is small and may all be LBW. The rule might really be 'LBW only' for 89mm too.
WHAT I NEED FROM YOU: Do 89mm NLBW headers get the paired 58.5 dimple?</t>
        </is>
      </c>
      <c r="M61" s="6" t="inlineStr">
        <is>
          <t xml:space="preserve">THE RULE SHOULD FIRE WHEN: 
THE VALUES ARE: 
IT SHOULD NOT FIRE WHEN: 
WHY (physical reason): </t>
        </is>
      </c>
      <c r="N61" s="7">
        <f>HYPERLINK("file:///C:/Users/Scott/CLAUDE CODE/hytek-rfy-codec/docs/rule-pdfs/rule-60.pdf","rule-60.pdf")</f>
        <v/>
      </c>
      <c r="O61" s="7">
        <f>HYPERLINK("file:///Y:/(17) 2026 HYTEK PROJECTS/AKAM CONSTRUCTIONS/HG260012 23 SPRINGWOOD ST TOWNHOUSES/06 MANUFACTURING/02 DRAWINGS MANUFACTURING/01 LGS/TH01-02/HG260012 [Akam] 23 Springwood Street -TH01-02-TH01-GF-LBW-89.075.pdf","HG260012 [Akam] 23 Springwood Street -TH01-02-TH01")</f>
        <v/>
      </c>
      <c r="P61" s="7">
        <f>HYPERLINK("file:///Y:/(17) 2026 HYTEK PROJECTS/AKAM CONSTRUCTIONS/HG260012 23 SPRINGWOOD ST TOWNHOUSES/01 PROJECT DOCUMENTATION/02 CURRENT DOCS/01 PDF/188. 23 Springwood St - Issue For Construction plan set.pdf","188. 23 Springwood St - Issue For Construction pla")</f>
        <v/>
      </c>
      <c r="Q61" s="7">
        <f>HYPERLINK("file:///Y:/(17) 2026 HYTEK PROJECTS/AKAM CONSTRUCTIONS/HG260012 23 SPRINGWOOD ST TOWNHOUSES/03 DETAILING/03 FRAMECAD DETAILER/HG260012 [Akam] 23 Springwood Street -TH01-02.fcp","HG260012 [Akam] 23 Springwood Street -TH01-02.fcp")</f>
        <v/>
      </c>
      <c r="R61" s="7">
        <f>HYPERLINK("file:///Y:/(17) 2026 HYTEK PROJECTS/AKAM CONSTRUCTIONS/HG260012 23 SPRINGWOOD ST TOWNHOUSES/03 DETAILING/03 FRAMECAD DETAILER/01 XML OUTPUT/HG260012 [Akam] 23 Springwood Street -TH01-02-TH01-GF-LBW-89.075.xml","HG260012 [Akam] 23 Springwood Street -TH01-02-TH01")</f>
        <v/>
      </c>
    </row>
    <row r="62" ht="120" customHeight="1">
      <c r="A62" s="2" t="n">
        <v>61</v>
      </c>
      <c r="B62" s="2" t="inlineStr">
        <is>
          <t>J</t>
        </is>
      </c>
      <c r="C62" s="2" t="inlineStr">
        <is>
          <t>Wall brace (W on wall plan)</t>
        </is>
      </c>
      <c r="D62" s="2" t="inlineStr">
        <is>
          <t>70/89mm</t>
        </is>
      </c>
      <c r="E62" s="2" t="inlineStr">
        <is>
          <t>Wall plan AND angle from vertical &gt;= 28 deg</t>
        </is>
      </c>
      <c r="F62" s="2" t="inlineStr">
        <is>
          <t>Chamfer at start (diagonal cut)</t>
        </is>
      </c>
      <c r="G62" s="4" t="inlineStr">
        <is>
          <t>No</t>
        </is>
      </c>
      <c r="H62" s="5" t="inlineStr">
        <is>
          <t>HG260001
GF-LBW-70.075
frame PK4-L27
stick W2</t>
        </is>
      </c>
      <c r="I62" s="2" t="inlineStr">
        <is>
          <t>Is 28 deg the actual chamfer threshold? What's the real rule?</t>
        </is>
      </c>
      <c r="J62" s="2" t="inlineStr">
        <is>
          <t>3,834 sticks / 91 pairs</t>
        </is>
      </c>
      <c r="K62" s="2" t="inlineStr">
        <is>
          <t>small</t>
        </is>
      </c>
      <c r="L62" s="2" t="inlineStr">
        <is>
          <t>WHAT WE EMIT: Wall braces get a Chamfer at start ONLY if angle from vertical &gt;= 28 deg. Near-vertical W's (under 28 deg) don't get a chamfer.
WHAT DETAILER DOES: HG260001 PK4 L27/W6 at 25.48 deg has NO chamfer. L27/W2 at 29.31 deg HAS a chamfer.
WHAT I NEED FROM YOU: Is 28 deg the actual threshold, or something else (15? 20? 30? 45?)? Is it really an angle threshold or is it triggered by something else (a flag in the XML, the brace type)?</t>
        </is>
      </c>
      <c r="M62" s="6" t="inlineStr">
        <is>
          <t xml:space="preserve">THE RULE SHOULD FIRE WHEN: 
THE VALUES ARE: 
IT SHOULD NOT FIRE WHEN: 
WHY (physical reason): </t>
        </is>
      </c>
      <c r="N62" s="7">
        <f>HYPERLINK("file:///C:/Users/Scott/CLAUDE CODE/hytek-rfy-codec/docs/rule-pdfs/rule-61.pdf","rule-61.pdf")</f>
        <v/>
      </c>
      <c r="O62" s="7">
        <f>HYPERLINK("file:///Y:/(17) 2026 HYTEK PROJECTS/CORAL HOMES/HG260001 LOT 289 (29) COORA CRESENT CURRIMUNDI/06 MANUFACTURING/02 DRAWINGS MANUFACTURING/01 LGS/HG260001 LOT 289 COORA CRESCENT CURRIMUNDI 4551-GF-LBW-70.075.pdf","HG260001 LOT 289 COORA CRESCENT CURRIMUNDI 4551-GF")</f>
        <v/>
      </c>
      <c r="P62" s="7">
        <f>HYPERLINK("file:///Y:/(17) 2026 HYTEK PROJECTS/CORAL HOMES/HG260001 LOT 289 (29) COORA CRESENT CURRIMUNDI/01 PROJECT DOCUMENTATION/02 CURRENT DOCS/01 PDF/CONSTRUCTION DETAILS.pdf","CONSTRUCTION DETAILS.pdf")</f>
        <v/>
      </c>
      <c r="Q62" s="7">
        <f>HYPERLINK("file:///Y:/(17) 2026 HYTEK PROJECTS/CORAL HOMES/HG260001 LOT 289 (29) COORA CRESENT CURRIMUNDI/03 DETAILING/03 FRAMECAD DETAILER/HG260001 LOT 289 (29) COORA CRESENT CURRIMUNDI.fcp","HG260001 LOT 289 (29) COORA CRESENT CURRIMUNDI.fcp")</f>
        <v/>
      </c>
      <c r="R62" s="7">
        <f>HYPERLINK("file:///Y:/(17) 2026 HYTEK PROJECTS/CORAL HOMES/HG260001 LOT 289 (29) COORA CRESENT CURRIMUNDI/03 DETAILING/03 FRAMECAD DETAILER/01 XML OUTPUT/HG260001 LOT 289 COORA CRESCENT CURRIMUNDI 4551-GF-LBW-70.075.xml","HG260001 LOT 289 COORA CRESCENT CURRIMUNDI 4551-GF")</f>
        <v/>
      </c>
    </row>
    <row r="63" ht="22" customHeight="1">
      <c r="A63" s="2" t="n">
        <v>62</v>
      </c>
      <c r="B63" s="2" t="inlineStr">
        <is>
          <t>J</t>
        </is>
      </c>
      <c r="C63" s="2" t="inlineStr">
        <is>
          <t>Wall brace (W on wall plan)</t>
        </is>
      </c>
      <c r="D63" s="2" t="inlineStr">
        <is>
          <t>70/89mm</t>
        </is>
      </c>
      <c r="E63" s="2" t="inlineStr">
        <is>
          <t>Wall plan</t>
        </is>
      </c>
      <c r="F63" s="2" t="inlineStr">
        <is>
          <t>Start Swage span 41mm</t>
        </is>
      </c>
      <c r="G63" s="3" t="inlineStr">
        <is>
          <t>Yes</t>
        </is>
      </c>
      <c r="H63" s="2" t="inlineStr"/>
      <c r="I63" s="2" t="inlineStr"/>
      <c r="J63" s="2" t="inlineStr">
        <is>
          <t>—</t>
        </is>
      </c>
      <c r="K63" s="2" t="inlineStr">
        <is>
          <t>—</t>
        </is>
      </c>
      <c r="L63" s="2" t="inlineStr"/>
      <c r="M63" s="2" t="inlineStr"/>
      <c r="N63" s="2" t="inlineStr"/>
      <c r="O63" s="2" t="inlineStr"/>
      <c r="P63" s="2" t="inlineStr"/>
      <c r="Q63" s="2" t="inlineStr"/>
      <c r="R63" s="2" t="inlineStr"/>
    </row>
    <row r="64" ht="22" customHeight="1">
      <c r="A64" s="2" t="n">
        <v>63</v>
      </c>
      <c r="B64" s="2" t="inlineStr">
        <is>
          <t>J</t>
        </is>
      </c>
      <c r="C64" s="2" t="inlineStr">
        <is>
          <t>Wall brace (W on wall plan)</t>
        </is>
      </c>
      <c r="D64" s="2" t="inlineStr">
        <is>
          <t>70/89mm</t>
        </is>
      </c>
      <c r="E64" s="2" t="inlineStr">
        <is>
          <t>Wall plan</t>
        </is>
      </c>
      <c r="F64" s="2" t="inlineStr">
        <is>
          <t>Start InnerDimple at 10mm</t>
        </is>
      </c>
      <c r="G64" s="3" t="inlineStr">
        <is>
          <t>Yes</t>
        </is>
      </c>
      <c r="H64" s="2" t="inlineStr"/>
      <c r="I64" s="2" t="inlineStr"/>
      <c r="J64" s="2" t="inlineStr">
        <is>
          <t>—</t>
        </is>
      </c>
      <c r="K64" s="2" t="inlineStr">
        <is>
          <t>—</t>
        </is>
      </c>
      <c r="L64" s="2" t="inlineStr"/>
      <c r="M64" s="2" t="inlineStr"/>
      <c r="N64" s="2" t="inlineStr"/>
      <c r="O64" s="2" t="inlineStr"/>
      <c r="P64" s="2" t="inlineStr"/>
      <c r="Q64" s="2" t="inlineStr"/>
      <c r="R64" s="2" t="inlineStr"/>
    </row>
    <row r="65" ht="143" customHeight="1">
      <c r="A65" s="2" t="n">
        <v>64</v>
      </c>
      <c r="B65" s="2" t="inlineStr">
        <is>
          <t>J</t>
        </is>
      </c>
      <c r="C65" s="2" t="inlineStr">
        <is>
          <t>Wall brace (W on wall plan)</t>
        </is>
      </c>
      <c r="D65" s="2" t="inlineStr">
        <is>
          <t>70/89mm</t>
        </is>
      </c>
      <c r="E65" s="2" t="inlineStr">
        <is>
          <t>Wall plan, angle-dependent</t>
        </is>
      </c>
      <c r="F65" s="2" t="inlineStr">
        <is>
          <t>End Swage span = 39/cos(a) + 8*tan^2(a)</t>
        </is>
      </c>
      <c r="G65" s="4" t="inlineStr">
        <is>
          <t>No</t>
        </is>
      </c>
      <c r="H65" s="5" t="inlineStr">
        <is>
          <t>HG260001
GF-LBW-70.075
frame PK4-L27
stick W2</t>
        </is>
      </c>
      <c r="I65" s="2" t="inlineStr">
        <is>
          <t>What's the actual rule for end-Swage span on a wall brace? Fixed perpendicular cap, or angle-scaled formula?</t>
        </is>
      </c>
      <c r="J65" s="2" t="inlineStr">
        <is>
          <t>3,834 sticks / 91 pairs</t>
        </is>
      </c>
      <c r="K65" s="2" t="inlineStr">
        <is>
          <t>moderate</t>
        </is>
      </c>
      <c r="L65" s="2" t="inlineStr">
        <is>
          <t>WHAT WE EMIT: For wall braces, the END Swage span is angle-dependent. Formula: span = 39 / cos(angle from vertical) + 8 * tan^2(angle). Curve fit, RMSE 0.36mm across 280 W's.
WHAT WORRIES ME: The formula gives the right NUMBERS but I don't know if it's the right MODEL. The 39/cos part is geometric (perpendicular cap projected onto angled stick); the 8*tan^2 is a residual fit with no physical interpretation.
WHAT I NEED FROM YOU: What's the actual rule for end Swage span on a wall brace? (a) Detailer literal formula, (b) fixed perpendicular cap and the projection makes it look angle-dependent, (c) cap follows the cut line?</t>
        </is>
      </c>
      <c r="M65" s="6" t="inlineStr">
        <is>
          <t xml:space="preserve">THE RULE SHOULD FIRE WHEN: 
THE VALUES ARE: 
IT SHOULD NOT FIRE WHEN: 
WHY (physical reason): </t>
        </is>
      </c>
      <c r="N65" s="7">
        <f>HYPERLINK("file:///C:/Users/Scott/CLAUDE CODE/hytek-rfy-codec/docs/rule-pdfs/rule-64.pdf","rule-64.pdf")</f>
        <v/>
      </c>
      <c r="O65" s="7">
        <f>HYPERLINK("file:///Y:/(17) 2026 HYTEK PROJECTS/CORAL HOMES/HG260001 LOT 289 (29) COORA CRESENT CURRIMUNDI/06 MANUFACTURING/02 DRAWINGS MANUFACTURING/01 LGS/HG260001 LOT 289 COORA CRESCENT CURRIMUNDI 4551-GF-LBW-70.075.pdf","HG260001 LOT 289 COORA CRESCENT CURRIMUNDI 4551-GF")</f>
        <v/>
      </c>
      <c r="P65" s="7">
        <f>HYPERLINK("file:///Y:/(17) 2026 HYTEK PROJECTS/CORAL HOMES/HG260001 LOT 289 (29) COORA CRESENT CURRIMUNDI/01 PROJECT DOCUMENTATION/02 CURRENT DOCS/01 PDF/CONSTRUCTION DETAILS.pdf","CONSTRUCTION DETAILS.pdf")</f>
        <v/>
      </c>
      <c r="Q65" s="7">
        <f>HYPERLINK("file:///Y:/(17) 2026 HYTEK PROJECTS/CORAL HOMES/HG260001 LOT 289 (29) COORA CRESENT CURRIMUNDI/03 DETAILING/03 FRAMECAD DETAILER/HG260001 LOT 289 (29) COORA CRESENT CURRIMUNDI.fcp","HG260001 LOT 289 (29) COORA CRESENT CURRIMUNDI.fcp")</f>
        <v/>
      </c>
      <c r="R65" s="7">
        <f>HYPERLINK("file:///Y:/(17) 2026 HYTEK PROJECTS/CORAL HOMES/HG260001 LOT 289 (29) COORA CRESENT CURRIMUNDI/03 DETAILING/03 FRAMECAD DETAILER/01 XML OUTPUT/HG260001 LOT 289 COORA CRESCENT CURRIMUNDI 4551-GF-LBW-70.075.xml","HG260001 LOT 289 COORA CRESCENT CURRIMUNDI 4551-GF")</f>
        <v/>
      </c>
    </row>
    <row r="66" ht="22" customHeight="1">
      <c r="A66" s="2" t="n">
        <v>65</v>
      </c>
      <c r="B66" s="2" t="inlineStr">
        <is>
          <t>J</t>
        </is>
      </c>
      <c r="C66" s="2" t="inlineStr">
        <is>
          <t>Wall brace (W on wall plan)</t>
        </is>
      </c>
      <c r="D66" s="2" t="inlineStr">
        <is>
          <t>70/89mm</t>
        </is>
      </c>
      <c r="E66" s="2" t="inlineStr">
        <is>
          <t>Wall plan</t>
        </is>
      </c>
      <c r="F66" s="2" t="inlineStr">
        <is>
          <t>End InnerDimple at length-10</t>
        </is>
      </c>
      <c r="G66" s="3" t="inlineStr">
        <is>
          <t>Yes</t>
        </is>
      </c>
      <c r="H66" s="2" t="inlineStr"/>
      <c r="I66" s="2" t="inlineStr"/>
      <c r="J66" s="2" t="inlineStr">
        <is>
          <t>—</t>
        </is>
      </c>
      <c r="K66" s="2" t="inlineStr">
        <is>
          <t>—</t>
        </is>
      </c>
      <c r="L66" s="2" t="inlineStr"/>
      <c r="M66" s="2" t="inlineStr"/>
      <c r="N66" s="2" t="inlineStr"/>
      <c r="O66" s="2" t="inlineStr"/>
      <c r="P66" s="2" t="inlineStr"/>
      <c r="Q66" s="2" t="inlineStr"/>
      <c r="R66" s="2" t="inlineStr"/>
    </row>
    <row r="67" ht="120" customHeight="1">
      <c r="A67" s="2" t="n">
        <v>66</v>
      </c>
      <c r="B67" s="2" t="inlineStr">
        <is>
          <t>J</t>
        </is>
      </c>
      <c r="C67" s="2" t="inlineStr">
        <is>
          <t>Wall brace (W on wall plan)</t>
        </is>
      </c>
      <c r="D67" s="2" t="inlineStr">
        <is>
          <t>70/89mm</t>
        </is>
      </c>
      <c r="E67" s="2" t="inlineStr">
        <is>
          <t>Wall plan AND angle &gt;= 28 deg</t>
        </is>
      </c>
      <c r="F67" s="2" t="inlineStr">
        <is>
          <t>End Chamfer</t>
        </is>
      </c>
      <c r="G67" s="4" t="inlineStr">
        <is>
          <t>No</t>
        </is>
      </c>
      <c r="H67" s="5" t="inlineStr">
        <is>
          <t>HG260001
GF-LBW-70.075
frame PK4-L27
stick W2</t>
        </is>
      </c>
      <c r="I67" s="2" t="inlineStr">
        <is>
          <t>Same threshold as rule 61.</t>
        </is>
      </c>
      <c r="J67" s="2" t="inlineStr">
        <is>
          <t>3,834 sticks / 91 pairs</t>
        </is>
      </c>
      <c r="K67" s="2" t="inlineStr">
        <is>
          <t>small</t>
        </is>
      </c>
      <c r="L67" s="2" t="inlineStr">
        <is>
          <t>Mirror of rule 61 at the end of the brace.</t>
        </is>
      </c>
      <c r="M67" s="6" t="inlineStr">
        <is>
          <t xml:space="preserve">THE RULE SHOULD FIRE WHEN: 
THE VALUES ARE: 
IT SHOULD NOT FIRE WHEN: 
WHY (physical reason): </t>
        </is>
      </c>
      <c r="N67" s="7">
        <f>HYPERLINK("file:///C:/Users/Scott/CLAUDE CODE/hytek-rfy-codec/docs/rule-pdfs/rule-66.pdf","rule-66.pdf")</f>
        <v/>
      </c>
      <c r="O67" s="7">
        <f>HYPERLINK("file:///Y:/(17) 2026 HYTEK PROJECTS/CORAL HOMES/HG260001 LOT 289 (29) COORA CRESENT CURRIMUNDI/06 MANUFACTURING/02 DRAWINGS MANUFACTURING/01 LGS/HG260001 LOT 289 COORA CRESCENT CURRIMUNDI 4551-GF-LBW-70.075.pdf","HG260001 LOT 289 COORA CRESCENT CURRIMUNDI 4551-GF")</f>
        <v/>
      </c>
      <c r="P67" s="7">
        <f>HYPERLINK("file:///Y:/(17) 2026 HYTEK PROJECTS/CORAL HOMES/HG260001 LOT 289 (29) COORA CRESENT CURRIMUNDI/01 PROJECT DOCUMENTATION/02 CURRENT DOCS/01 PDF/CONSTRUCTION DETAILS.pdf","CONSTRUCTION DETAILS.pdf")</f>
        <v/>
      </c>
      <c r="Q67" s="7">
        <f>HYPERLINK("file:///Y:/(17) 2026 HYTEK PROJECTS/CORAL HOMES/HG260001 LOT 289 (29) COORA CRESENT CURRIMUNDI/03 DETAILING/03 FRAMECAD DETAILER/HG260001 LOT 289 (29) COORA CRESENT CURRIMUNDI.fcp","HG260001 LOT 289 (29) COORA CRESENT CURRIMUNDI.fcp")</f>
        <v/>
      </c>
      <c r="R67" s="7">
        <f>HYPERLINK("file:///Y:/(17) 2026 HYTEK PROJECTS/CORAL HOMES/HG260001 LOT 289 (29) COORA CRESENT CURRIMUNDI/03 DETAILING/03 FRAMECAD DETAILER/01 XML OUTPUT/HG260001 LOT 289 COORA CRESCENT CURRIMUNDI 4551-GF-LBW-70.075.xml","HG260001 LOT 289 COORA CRESCENT CURRIMUNDI 4551-GF")</f>
        <v/>
      </c>
    </row>
    <row r="68" ht="22" customHeight="1">
      <c r="A68" s="2" t="n">
        <v>67</v>
      </c>
      <c r="B68" s="2" t="inlineStr">
        <is>
          <t>K</t>
        </is>
      </c>
      <c r="C68" s="2" t="inlineStr">
        <is>
          <t>Truss/joist web (W non-wall)</t>
        </is>
      </c>
      <c r="D68" s="2" t="inlineStr">
        <is>
          <t>70/89mm</t>
        </is>
      </c>
      <c r="E68" s="2" t="inlineStr">
        <is>
          <t>Non-wall plan</t>
        </is>
      </c>
      <c r="F68" s="2" t="inlineStr">
        <is>
          <t>Start Swage span 39mm</t>
        </is>
      </c>
      <c r="G68" s="3" t="inlineStr">
        <is>
          <t>Yes</t>
        </is>
      </c>
      <c r="H68" s="2" t="inlineStr"/>
      <c r="I68" s="2" t="inlineStr"/>
      <c r="J68" s="2" t="inlineStr">
        <is>
          <t>—</t>
        </is>
      </c>
      <c r="K68" s="2" t="inlineStr">
        <is>
          <t>—</t>
        </is>
      </c>
      <c r="L68" s="2" t="inlineStr"/>
      <c r="M68" s="2" t="inlineStr"/>
      <c r="N68" s="2" t="inlineStr"/>
      <c r="O68" s="2" t="inlineStr"/>
      <c r="P68" s="2" t="inlineStr"/>
      <c r="Q68" s="2" t="inlineStr"/>
      <c r="R68" s="2" t="inlineStr"/>
    </row>
    <row r="69" ht="22" customHeight="1">
      <c r="A69" s="2" t="n">
        <v>68</v>
      </c>
      <c r="B69" s="2" t="inlineStr">
        <is>
          <t>K</t>
        </is>
      </c>
      <c r="C69" s="2" t="inlineStr">
        <is>
          <t>Truss/joist web (W non-wall)</t>
        </is>
      </c>
      <c r="D69" s="2" t="inlineStr">
        <is>
          <t>70/89mm</t>
        </is>
      </c>
      <c r="E69" s="2" t="inlineStr">
        <is>
          <t>Non-wall plan</t>
        </is>
      </c>
      <c r="F69" s="2" t="inlineStr">
        <is>
          <t>Start InnerDimple at 16.5</t>
        </is>
      </c>
      <c r="G69" s="3" t="inlineStr">
        <is>
          <t>Yes</t>
        </is>
      </c>
      <c r="H69" s="2" t="inlineStr"/>
      <c r="I69" s="2" t="inlineStr"/>
      <c r="J69" s="2" t="inlineStr">
        <is>
          <t>—</t>
        </is>
      </c>
      <c r="K69" s="2" t="inlineStr">
        <is>
          <t>—</t>
        </is>
      </c>
      <c r="L69" s="2" t="inlineStr"/>
      <c r="M69" s="2" t="inlineStr"/>
      <c r="N69" s="2" t="inlineStr"/>
      <c r="O69" s="2" t="inlineStr"/>
      <c r="P69" s="2" t="inlineStr"/>
      <c r="Q69" s="2" t="inlineStr"/>
      <c r="R69" s="2" t="inlineStr"/>
    </row>
    <row r="70" ht="22" customHeight="1">
      <c r="A70" s="2" t="n">
        <v>69</v>
      </c>
      <c r="B70" s="2" t="inlineStr">
        <is>
          <t>K</t>
        </is>
      </c>
      <c r="C70" s="2" t="inlineStr">
        <is>
          <t>Truss/joist web (W non-wall)</t>
        </is>
      </c>
      <c r="D70" s="2" t="inlineStr">
        <is>
          <t>70/89mm</t>
        </is>
      </c>
      <c r="E70" s="2" t="inlineStr">
        <is>
          <t>Non-wall plan</t>
        </is>
      </c>
      <c r="F70" s="2" t="inlineStr">
        <is>
          <t>End Swage span 39mm</t>
        </is>
      </c>
      <c r="G70" s="3" t="inlineStr">
        <is>
          <t>Yes</t>
        </is>
      </c>
      <c r="H70" s="2" t="inlineStr"/>
      <c r="I70" s="2" t="inlineStr"/>
      <c r="J70" s="2" t="inlineStr">
        <is>
          <t>—</t>
        </is>
      </c>
      <c r="K70" s="2" t="inlineStr">
        <is>
          <t>—</t>
        </is>
      </c>
      <c r="L70" s="2" t="inlineStr"/>
      <c r="M70" s="2" t="inlineStr"/>
      <c r="N70" s="2" t="inlineStr"/>
      <c r="O70" s="2" t="inlineStr"/>
      <c r="P70" s="2" t="inlineStr"/>
      <c r="Q70" s="2" t="inlineStr"/>
      <c r="R70" s="2" t="inlineStr"/>
    </row>
    <row r="71" ht="22" customHeight="1">
      <c r="A71" s="2" t="n">
        <v>70</v>
      </c>
      <c r="B71" s="2" t="inlineStr">
        <is>
          <t>K</t>
        </is>
      </c>
      <c r="C71" s="2" t="inlineStr">
        <is>
          <t>Truss/joist web (W non-wall)</t>
        </is>
      </c>
      <c r="D71" s="2" t="inlineStr">
        <is>
          <t>70/89mm</t>
        </is>
      </c>
      <c r="E71" s="2" t="inlineStr">
        <is>
          <t>Non-wall plan</t>
        </is>
      </c>
      <c r="F71" s="2" t="inlineStr">
        <is>
          <t>End InnerDimple at length-16.5</t>
        </is>
      </c>
      <c r="G71" s="3" t="inlineStr">
        <is>
          <t>Yes</t>
        </is>
      </c>
      <c r="H71" s="2" t="inlineStr"/>
      <c r="I71" s="2" t="inlineStr"/>
      <c r="J71" s="2" t="inlineStr">
        <is>
          <t>—</t>
        </is>
      </c>
      <c r="K71" s="2" t="inlineStr">
        <is>
          <t>—</t>
        </is>
      </c>
      <c r="L71" s="2" t="inlineStr"/>
      <c r="M71" s="2" t="inlineStr"/>
      <c r="N71" s="2" t="inlineStr"/>
      <c r="O71" s="2" t="inlineStr"/>
      <c r="P71" s="2" t="inlineStr"/>
      <c r="Q71" s="2" t="inlineStr"/>
      <c r="R71" s="2" t="inlineStr"/>
    </row>
    <row r="72" ht="22" customHeight="1">
      <c r="A72" s="2" t="n">
        <v>71</v>
      </c>
      <c r="B72" s="2" t="inlineStr">
        <is>
          <t>L</t>
        </is>
      </c>
      <c r="C72" s="2" t="inlineStr">
        <is>
          <t>Lintel/sill (L)</t>
        </is>
      </c>
      <c r="D72" s="2" t="inlineStr">
        <is>
          <t>70mm</t>
        </is>
      </c>
      <c r="E72" s="2" t="inlineStr">
        <is>
          <t>Always</t>
        </is>
      </c>
      <c r="F72" s="2" t="inlineStr">
        <is>
          <t>Start InnerNotch span 39mm</t>
        </is>
      </c>
      <c r="G72" s="3" t="inlineStr">
        <is>
          <t>Yes</t>
        </is>
      </c>
      <c r="H72" s="2" t="inlineStr"/>
      <c r="I72" s="2" t="inlineStr"/>
      <c r="J72" s="2" t="inlineStr">
        <is>
          <t>—</t>
        </is>
      </c>
      <c r="K72" s="2" t="inlineStr">
        <is>
          <t>—</t>
        </is>
      </c>
      <c r="L72" s="2" t="inlineStr"/>
      <c r="M72" s="2" t="inlineStr"/>
      <c r="N72" s="2" t="inlineStr"/>
      <c r="O72" s="2" t="inlineStr"/>
      <c r="P72" s="2" t="inlineStr"/>
      <c r="Q72" s="2" t="inlineStr"/>
      <c r="R72" s="2" t="inlineStr"/>
    </row>
    <row r="73" ht="22" customHeight="1">
      <c r="A73" s="2" t="n">
        <v>72</v>
      </c>
      <c r="B73" s="2" t="inlineStr">
        <is>
          <t>L</t>
        </is>
      </c>
      <c r="C73" s="2" t="inlineStr">
        <is>
          <t>Lintel/sill (L)</t>
        </is>
      </c>
      <c r="D73" s="2" t="inlineStr">
        <is>
          <t>70mm</t>
        </is>
      </c>
      <c r="E73" s="2" t="inlineStr">
        <is>
          <t>Always</t>
        </is>
      </c>
      <c r="F73" s="2" t="inlineStr">
        <is>
          <t>Start LipNotch span 39mm</t>
        </is>
      </c>
      <c r="G73" s="3" t="inlineStr">
        <is>
          <t>Yes</t>
        </is>
      </c>
      <c r="H73" s="2" t="inlineStr"/>
      <c r="I73" s="2" t="inlineStr"/>
      <c r="J73" s="2" t="inlineStr">
        <is>
          <t>—</t>
        </is>
      </c>
      <c r="K73" s="2" t="inlineStr">
        <is>
          <t>—</t>
        </is>
      </c>
      <c r="L73" s="2" t="inlineStr"/>
      <c r="M73" s="2" t="inlineStr"/>
      <c r="N73" s="2" t="inlineStr"/>
      <c r="O73" s="2" t="inlineStr"/>
      <c r="P73" s="2" t="inlineStr"/>
      <c r="Q73" s="2" t="inlineStr"/>
      <c r="R73" s="2" t="inlineStr"/>
    </row>
    <row r="74" ht="22" customHeight="1">
      <c r="A74" s="2" t="n">
        <v>73</v>
      </c>
      <c r="B74" s="2" t="inlineStr">
        <is>
          <t>L</t>
        </is>
      </c>
      <c r="C74" s="2" t="inlineStr">
        <is>
          <t>Lintel/sill (L)</t>
        </is>
      </c>
      <c r="D74" s="2" t="inlineStr">
        <is>
          <t>70mm</t>
        </is>
      </c>
      <c r="E74" s="2" t="inlineStr">
        <is>
          <t>Always</t>
        </is>
      </c>
      <c r="F74" s="2" t="inlineStr">
        <is>
          <t>Start InnerDimple at 16.5</t>
        </is>
      </c>
      <c r="G74" s="3" t="inlineStr">
        <is>
          <t>Yes</t>
        </is>
      </c>
      <c r="H74" s="2" t="inlineStr"/>
      <c r="I74" s="2" t="inlineStr"/>
      <c r="J74" s="2" t="inlineStr">
        <is>
          <t>—</t>
        </is>
      </c>
      <c r="K74" s="2" t="inlineStr">
        <is>
          <t>—</t>
        </is>
      </c>
      <c r="L74" s="2" t="inlineStr"/>
      <c r="M74" s="2" t="inlineStr"/>
      <c r="N74" s="2" t="inlineStr"/>
      <c r="O74" s="2" t="inlineStr"/>
      <c r="P74" s="2" t="inlineStr"/>
      <c r="Q74" s="2" t="inlineStr"/>
      <c r="R74" s="2" t="inlineStr"/>
    </row>
    <row r="75" ht="120" customHeight="1">
      <c r="A75" s="2" t="n">
        <v>74</v>
      </c>
      <c r="B75" s="2" t="inlineStr">
        <is>
          <t>L</t>
        </is>
      </c>
      <c r="C75" s="2" t="inlineStr">
        <is>
          <t>Lintel/sill (L)</t>
        </is>
      </c>
      <c r="D75" s="2" t="inlineStr">
        <is>
          <t>89mm</t>
        </is>
      </c>
      <c r="E75" s="2" t="inlineStr">
        <is>
          <t>Always</t>
        </is>
      </c>
      <c r="F75" s="2" t="inlineStr">
        <is>
          <t>Start InnerDimple at 58.5 (paired)</t>
        </is>
      </c>
      <c r="G75" s="4" t="inlineStr">
        <is>
          <t>No</t>
        </is>
      </c>
      <c r="H75" s="5" t="inlineStr">
        <is>
          <t>HG260002
GF-LBW-89.075
frame L24
stick L3</t>
        </is>
      </c>
      <c r="I75" s="2" t="inlineStr">
        <is>
          <t>Why does 89mm L always get the 58.5 dimple but 70mm L doesn't? Or is it actually LBW-only too?</t>
        </is>
      </c>
      <c r="J75" s="2" t="inlineStr">
        <is>
          <t>156 sticks / 22 pairs</t>
        </is>
      </c>
      <c r="K75" s="2" t="inlineStr">
        <is>
          <t>small</t>
        </is>
      </c>
      <c r="L75" s="2" t="inlineStr">
        <is>
          <t>WHAT WE EMIT: 89mm sills (L role) get a paired dimple at 58.5 from each end. 70mm lintels DON'T.
WHAT WORRIES ME: Same shape as the LBW-paired-dimple question. Why does 89mm L always get it but 70mm L doesn't? Is it really profile-dependent?
WHAT I NEED FROM YOU: Do 70mm LBW lintels get the 58.5 paired dimple too? If so, the rule should match 70mm headers (LBW gets paired, NLBW doesn't). Is 58.5 always exactly that, or does it scale?</t>
        </is>
      </c>
      <c r="M75" s="6" t="inlineStr">
        <is>
          <t xml:space="preserve">THE RULE SHOULD FIRE WHEN: 
THE VALUES ARE: 
IT SHOULD NOT FIRE WHEN: 
WHY (physical reason): </t>
        </is>
      </c>
      <c r="N75" s="7">
        <f>HYPERLINK("file:///C:/Users/Scott/CLAUDE CODE/hytek-rfy-codec/docs/rule-pdfs/rule-74.pdf","rule-74.pdf")</f>
        <v/>
      </c>
      <c r="O75" s="7">
        <f>HYPERLINK("file:///Y:/(17) 2026 HYTEK PROJECTS/BOWE PROJECTS/HG260002 5 MOSSIP COURT WELLINGTON POINT/06 MANUFACTURING/02 DRAWINGS MANUFACTURING/01 LGS/HG260002 5 MOSSIP COURT WELLINGTON POINT-GF-LBW-89.075.pdf","HG260002 5 MOSSIP COURT WELLINGTON POINT-GF-LBW-89")</f>
        <v/>
      </c>
      <c r="P75" s="2" t="inlineStr"/>
      <c r="Q75" s="7">
        <f>HYPERLINK("file:///Y:/(17) 2026 HYTEK PROJECTS/BOWE PROJECTS/HG260002 5 MOSSIP COURT WELLINGTON POINT/03 DETAILING/03 FRAMECAD DETAILER/HG260002 5 MOSSIP COURT WELLINGTON POINT.fcp","HG260002 5 MOSSIP COURT WELLINGTON POINT.fcp")</f>
        <v/>
      </c>
      <c r="R75" s="7">
        <f>HYPERLINK("file:///Y:/(17) 2026 HYTEK PROJECTS/BOWE PROJECTS/HG260002 5 MOSSIP COURT WELLINGTON POINT/03 DETAILING/03 FRAMECAD DETAILER/01 XML OUTPUT/HG260002 5 MOSSIP COURT WELLINGTON POINT-GF-LBW-89.075.xml","HG260002 5 MOSSIP COURT WELLINGTON POINT-GF-LBW-89")</f>
        <v/>
      </c>
    </row>
    <row r="76" ht="120" customHeight="1">
      <c r="A76" s="2" t="n">
        <v>75</v>
      </c>
      <c r="B76" s="2" t="inlineStr">
        <is>
          <t>L</t>
        </is>
      </c>
      <c r="C76" s="2" t="inlineStr">
        <is>
          <t>Lintel/sill (L)</t>
        </is>
      </c>
      <c r="D76" s="2" t="inlineStr">
        <is>
          <t>89mm</t>
        </is>
      </c>
      <c r="E76" s="2" t="inlineStr">
        <is>
          <t>Always</t>
        </is>
      </c>
      <c r="F76" s="2" t="inlineStr">
        <is>
          <t>End InnerDimple at length-58.5</t>
        </is>
      </c>
      <c r="G76" s="4" t="inlineStr">
        <is>
          <t>No</t>
        </is>
      </c>
      <c r="H76" s="5" t="inlineStr">
        <is>
          <t>HG260002
GF-LBW-89.075
frame L24
stick L3</t>
        </is>
      </c>
      <c r="I76" s="2" t="inlineStr">
        <is>
          <t>Same as rule 74.</t>
        </is>
      </c>
      <c r="J76" s="2" t="inlineStr">
        <is>
          <t>156 sticks / 22 pairs</t>
        </is>
      </c>
      <c r="K76" s="2" t="inlineStr">
        <is>
          <t>small</t>
        </is>
      </c>
      <c r="L76" s="2" t="inlineStr">
        <is>
          <t>Mirror of rule 74 at the end.</t>
        </is>
      </c>
      <c r="M76" s="6" t="inlineStr">
        <is>
          <t xml:space="preserve">THE RULE SHOULD FIRE WHEN: 
THE VALUES ARE: 
IT SHOULD NOT FIRE WHEN: 
WHY (physical reason): </t>
        </is>
      </c>
      <c r="N76" s="7">
        <f>HYPERLINK("file:///C:/Users/Scott/CLAUDE CODE/hytek-rfy-codec/docs/rule-pdfs/rule-75.pdf","rule-75.pdf")</f>
        <v/>
      </c>
      <c r="O76" s="7">
        <f>HYPERLINK("file:///Y:/(17) 2026 HYTEK PROJECTS/BOWE PROJECTS/HG260002 5 MOSSIP COURT WELLINGTON POINT/06 MANUFACTURING/02 DRAWINGS MANUFACTURING/01 LGS/HG260002 5 MOSSIP COURT WELLINGTON POINT-GF-LBW-89.075.pdf","HG260002 5 MOSSIP COURT WELLINGTON POINT-GF-LBW-89")</f>
        <v/>
      </c>
      <c r="P76" s="2" t="inlineStr"/>
      <c r="Q76" s="7">
        <f>HYPERLINK("file:///Y:/(17) 2026 HYTEK PROJECTS/BOWE PROJECTS/HG260002 5 MOSSIP COURT WELLINGTON POINT/03 DETAILING/03 FRAMECAD DETAILER/HG260002 5 MOSSIP COURT WELLINGTON POINT.fcp","HG260002 5 MOSSIP COURT WELLINGTON POINT.fcp")</f>
        <v/>
      </c>
      <c r="R76" s="7">
        <f>HYPERLINK("file:///Y:/(17) 2026 HYTEK PROJECTS/BOWE PROJECTS/HG260002 5 MOSSIP COURT WELLINGTON POINT/03 DETAILING/03 FRAMECAD DETAILER/01 XML OUTPUT/HG260002 5 MOSSIP COURT WELLINGTON POINT-GF-LBW-89.075.xml","HG260002 5 MOSSIP COURT WELLINGTON POINT-GF-LBW-89")</f>
        <v/>
      </c>
    </row>
    <row r="77" ht="22" customHeight="1">
      <c r="A77" s="2" t="n">
        <v>76</v>
      </c>
      <c r="B77" s="2" t="inlineStr">
        <is>
          <t>L</t>
        </is>
      </c>
      <c r="C77" s="2" t="inlineStr">
        <is>
          <t>Lintel/sill (L)</t>
        </is>
      </c>
      <c r="D77" s="2" t="inlineStr">
        <is>
          <t>70mm</t>
        </is>
      </c>
      <c r="E77" s="2" t="inlineStr">
        <is>
          <t>Always</t>
        </is>
      </c>
      <c r="F77" s="2" t="inlineStr">
        <is>
          <t>End InnerDimple at length-16.5</t>
        </is>
      </c>
      <c r="G77" s="3" t="inlineStr">
        <is>
          <t>Yes</t>
        </is>
      </c>
      <c r="H77" s="2" t="inlineStr"/>
      <c r="I77" s="2" t="inlineStr"/>
      <c r="J77" s="2" t="inlineStr">
        <is>
          <t>—</t>
        </is>
      </c>
      <c r="K77" s="2" t="inlineStr">
        <is>
          <t>—</t>
        </is>
      </c>
      <c r="L77" s="2" t="inlineStr"/>
      <c r="M77" s="2" t="inlineStr"/>
      <c r="N77" s="2" t="inlineStr"/>
      <c r="O77" s="2" t="inlineStr"/>
      <c r="P77" s="2" t="inlineStr"/>
      <c r="Q77" s="2" t="inlineStr"/>
      <c r="R77" s="2" t="inlineStr"/>
    </row>
    <row r="78" ht="22" customHeight="1">
      <c r="A78" s="2" t="n">
        <v>77</v>
      </c>
      <c r="B78" s="2" t="inlineStr">
        <is>
          <t>L</t>
        </is>
      </c>
      <c r="C78" s="2" t="inlineStr">
        <is>
          <t>Lintel/sill (L)</t>
        </is>
      </c>
      <c r="D78" s="2" t="inlineStr">
        <is>
          <t>70mm</t>
        </is>
      </c>
      <c r="E78" s="2" t="inlineStr">
        <is>
          <t>Always</t>
        </is>
      </c>
      <c r="F78" s="2" t="inlineStr">
        <is>
          <t>End InnerNotch span 39mm</t>
        </is>
      </c>
      <c r="G78" s="3" t="inlineStr">
        <is>
          <t>Yes</t>
        </is>
      </c>
      <c r="H78" s="2" t="inlineStr"/>
      <c r="I78" s="2" t="inlineStr"/>
      <c r="J78" s="2" t="inlineStr">
        <is>
          <t>—</t>
        </is>
      </c>
      <c r="K78" s="2" t="inlineStr">
        <is>
          <t>—</t>
        </is>
      </c>
      <c r="L78" s="2" t="inlineStr"/>
      <c r="M78" s="2" t="inlineStr"/>
      <c r="N78" s="2" t="inlineStr"/>
      <c r="O78" s="2" t="inlineStr"/>
      <c r="P78" s="2" t="inlineStr"/>
      <c r="Q78" s="2" t="inlineStr"/>
      <c r="R78" s="2" t="inlineStr"/>
    </row>
    <row r="79" ht="22" customHeight="1">
      <c r="A79" s="2" t="n">
        <v>78</v>
      </c>
      <c r="B79" s="2" t="inlineStr">
        <is>
          <t>L</t>
        </is>
      </c>
      <c r="C79" s="2" t="inlineStr">
        <is>
          <t>Lintel/sill (L)</t>
        </is>
      </c>
      <c r="D79" s="2" t="inlineStr">
        <is>
          <t>70mm</t>
        </is>
      </c>
      <c r="E79" s="2" t="inlineStr">
        <is>
          <t>Always</t>
        </is>
      </c>
      <c r="F79" s="2" t="inlineStr">
        <is>
          <t>End LipNotch span 39mm</t>
        </is>
      </c>
      <c r="G79" s="3" t="inlineStr">
        <is>
          <t>Yes</t>
        </is>
      </c>
      <c r="H79" s="2" t="inlineStr"/>
      <c r="I79" s="2" t="inlineStr"/>
      <c r="J79" s="2" t="inlineStr">
        <is>
          <t>—</t>
        </is>
      </c>
      <c r="K79" s="2" t="inlineStr">
        <is>
          <t>—</t>
        </is>
      </c>
      <c r="L79" s="2" t="inlineStr"/>
      <c r="M79" s="2" t="inlineStr"/>
      <c r="N79" s="2" t="inlineStr"/>
      <c r="O79" s="2" t="inlineStr"/>
      <c r="P79" s="2" t="inlineStr"/>
      <c r="Q79" s="2" t="inlineStr"/>
      <c r="R79" s="2" t="inlineStr"/>
    </row>
    <row r="80" ht="120" customHeight="1">
      <c r="A80" s="2" t="n">
        <v>79</v>
      </c>
      <c r="B80" s="2" t="inlineStr">
        <is>
          <t>M</t>
        </is>
      </c>
      <c r="C80" s="2" t="inlineStr">
        <is>
          <t>Brace/Ribbon (Br, R)</t>
        </is>
      </c>
      <c r="D80" s="2" t="inlineStr">
        <is>
          <t>70mm</t>
        </is>
      </c>
      <c r="E80" s="2" t="inlineStr">
        <is>
          <t>Always</t>
        </is>
      </c>
      <c r="F80" s="2" t="inlineStr">
        <is>
          <t>Start Swage span 41mm</t>
        </is>
      </c>
      <c r="G80" s="4" t="inlineStr">
        <is>
          <t>No</t>
        </is>
      </c>
      <c r="H80" s="5" t="inlineStr">
        <is>
          <t>HG260044
GF-TIN-70.075
frame PC2-1
stick R3</t>
        </is>
      </c>
      <c r="I80" s="2" t="inlineStr">
        <is>
          <t>What's the difference between Br, R, and W? Should Br/R use 41mm cap + 11mm dimple or same as studs?</t>
        </is>
      </c>
      <c r="J80" s="2" t="inlineStr">
        <is>
          <t>194 sticks / 56 pairs</t>
        </is>
      </c>
      <c r="K80" s="2" t="inlineStr">
        <is>
          <t>small</t>
        </is>
      </c>
      <c r="L80" s="2" t="inlineStr">
        <is>
          <t>WHAT WE EMIT: Sticks named with prefix Br or R get a Swage cap of 41mm at the start (vs 39mm for studs, 42mm for Kb).
WHAT WORRIES ME: Single sample subset.
WHAT I NEED FROM YOU: What's the difference between Br, R, and W in HYTEK terminology? Should Br/R use 41mm cap + 11mm dimple, or actually use 39mm + 16.5mm like studs?</t>
        </is>
      </c>
      <c r="M80" s="6" t="inlineStr">
        <is>
          <t xml:space="preserve">THE RULE SHOULD FIRE WHEN: 
THE VALUES ARE: 
IT SHOULD NOT FIRE WHEN: 
WHY (physical reason): </t>
        </is>
      </c>
      <c r="N80" s="7">
        <f>HYPERLINK("file:///C:/Users/Scott/CLAUDE CODE/hytek-rfy-codec/docs/rule-pdfs/rule-79.pdf","rule-79.pdf")</f>
        <v/>
      </c>
      <c r="O80" s="7">
        <f>HYPERLINK("file:///Y:/(17) 2026 HYTEK PROJECTS/CORAL HOMES/HG260044 LOT 1810 (14) ELDERBERRY ST UPPER CABOOLTURE/06 MANUFACTURING/02 DRAWINGS MANUFACTURING/01 LGS/HG260044 LOT 1810 (14) ELDERBERRY ST UPPER CABOOLTURE-GF-TIN-70.075.pdf","HG260044 LOT 1810 (14) ELDERBERRY ST UPPER CABOOLT")</f>
        <v/>
      </c>
      <c r="P80" s="2" t="inlineStr"/>
      <c r="Q80" s="7">
        <f>HYPERLINK("file:///Y:/(17) 2026 HYTEK PROJECTS/CORAL HOMES/HG260044 LOT 1810 (14) ELDERBERRY ST UPPER CABOOLTURE/03 DETAILING/03 FRAMECAD DETAILER/HG260044 LOT 1810 (14) ELDERBERRY ST UPPER CABOOLTURE.fcp","HG260044 LOT 1810 (14) ELDERBERRY ST UPPER CABOOLT")</f>
        <v/>
      </c>
      <c r="R80" s="7">
        <f>HYPERLINK("file:///Y:/(17) 2026 HYTEK PROJECTS/CORAL HOMES/HG260044 LOT 1810 (14) ELDERBERRY ST UPPER CABOOLTURE/03 DETAILING/03 FRAMECAD DETAILER/01 XML OUTPUT/HG260044 LOT 1810 (14) ELDERBERRY ST UPPER CABOOLTURE-GF-TIN-70.075.xml","HG260044 LOT 1810 (14) ELDERBERRY ST UPPER CABOOLT")</f>
        <v/>
      </c>
    </row>
    <row r="81" ht="120" customHeight="1">
      <c r="A81" s="2" t="n">
        <v>80</v>
      </c>
      <c r="B81" s="2" t="inlineStr">
        <is>
          <t>M</t>
        </is>
      </c>
      <c r="C81" s="2" t="inlineStr">
        <is>
          <t>Brace/Ribbon (Br, R)</t>
        </is>
      </c>
      <c r="D81" s="2" t="inlineStr">
        <is>
          <t>70mm</t>
        </is>
      </c>
      <c r="E81" s="2" t="inlineStr">
        <is>
          <t>Always</t>
        </is>
      </c>
      <c r="F81" s="2" t="inlineStr">
        <is>
          <t>Start InnerDimple at 11mm</t>
        </is>
      </c>
      <c r="G81" s="4" t="inlineStr">
        <is>
          <t>No</t>
        </is>
      </c>
      <c r="H81" s="5" t="inlineStr">
        <is>
          <t>HG260044
GF-TIN-70.075
frame PC2-1
stick R3</t>
        </is>
      </c>
      <c r="I81" s="2" t="inlineStr">
        <is>
          <t>Same as rule 79.</t>
        </is>
      </c>
      <c r="J81" s="2" t="inlineStr">
        <is>
          <t>194 sticks / 56 pairs</t>
        </is>
      </c>
      <c r="K81" s="2" t="inlineStr">
        <is>
          <t>small</t>
        </is>
      </c>
      <c r="L81" s="2" t="inlineStr">
        <is>
          <t>Same as rule 79 — confirm 11mm dimple offset or correct.</t>
        </is>
      </c>
      <c r="M81" s="6" t="inlineStr">
        <is>
          <t xml:space="preserve">THE RULE SHOULD FIRE WHEN: 
THE VALUES ARE: 
IT SHOULD NOT FIRE WHEN: 
WHY (physical reason): </t>
        </is>
      </c>
      <c r="N81" s="7">
        <f>HYPERLINK("file:///C:/Users/Scott/CLAUDE CODE/hytek-rfy-codec/docs/rule-pdfs/rule-80.pdf","rule-80.pdf")</f>
        <v/>
      </c>
      <c r="O81" s="7">
        <f>HYPERLINK("file:///Y:/(17) 2026 HYTEK PROJECTS/CORAL HOMES/HG260044 LOT 1810 (14) ELDERBERRY ST UPPER CABOOLTURE/06 MANUFACTURING/02 DRAWINGS MANUFACTURING/01 LGS/HG260044 LOT 1810 (14) ELDERBERRY ST UPPER CABOOLTURE-GF-TIN-70.075.pdf","HG260044 LOT 1810 (14) ELDERBERRY ST UPPER CABOOLT")</f>
        <v/>
      </c>
      <c r="P81" s="2" t="inlineStr"/>
      <c r="Q81" s="7">
        <f>HYPERLINK("file:///Y:/(17) 2026 HYTEK PROJECTS/CORAL HOMES/HG260044 LOT 1810 (14) ELDERBERRY ST UPPER CABOOLTURE/03 DETAILING/03 FRAMECAD DETAILER/HG260044 LOT 1810 (14) ELDERBERRY ST UPPER CABOOLTURE.fcp","HG260044 LOT 1810 (14) ELDERBERRY ST UPPER CABOOLT")</f>
        <v/>
      </c>
      <c r="R81" s="7">
        <f>HYPERLINK("file:///Y:/(17) 2026 HYTEK PROJECTS/CORAL HOMES/HG260044 LOT 1810 (14) ELDERBERRY ST UPPER CABOOLTURE/03 DETAILING/03 FRAMECAD DETAILER/01 XML OUTPUT/HG260044 LOT 1810 (14) ELDERBERRY ST UPPER CABOOLTURE-GF-TIN-70.075.xml","HG260044 LOT 1810 (14) ELDERBERRY ST UPPER CABOOLT")</f>
        <v/>
      </c>
    </row>
    <row r="82" ht="120" customHeight="1">
      <c r="A82" s="2" t="n">
        <v>81</v>
      </c>
      <c r="B82" s="2" t="inlineStr">
        <is>
          <t>M</t>
        </is>
      </c>
      <c r="C82" s="2" t="inlineStr">
        <is>
          <t>Brace/Ribbon (Br, R)</t>
        </is>
      </c>
      <c r="D82" s="2" t="inlineStr">
        <is>
          <t>70mm</t>
        </is>
      </c>
      <c r="E82" s="2" t="inlineStr">
        <is>
          <t>Always</t>
        </is>
      </c>
      <c r="F82" s="2" t="inlineStr">
        <is>
          <t>End Swage span 41mm</t>
        </is>
      </c>
      <c r="G82" s="4" t="inlineStr">
        <is>
          <t>No</t>
        </is>
      </c>
      <c r="H82" s="5" t="inlineStr">
        <is>
          <t>HG260044
GF-TIN-70.075
frame PC2-1
stick R3</t>
        </is>
      </c>
      <c r="I82" s="2" t="inlineStr">
        <is>
          <t>Same as rule 79.</t>
        </is>
      </c>
      <c r="J82" s="2" t="inlineStr">
        <is>
          <t>194 sticks / 56 pairs</t>
        </is>
      </c>
      <c r="K82" s="2" t="inlineStr">
        <is>
          <t>small</t>
        </is>
      </c>
      <c r="L82" s="2" t="inlineStr">
        <is>
          <t>Same as rule 79 — mirror at end.</t>
        </is>
      </c>
      <c r="M82" s="6" t="inlineStr">
        <is>
          <t xml:space="preserve">THE RULE SHOULD FIRE WHEN: 
THE VALUES ARE: 
IT SHOULD NOT FIRE WHEN: 
WHY (physical reason): </t>
        </is>
      </c>
      <c r="N82" s="7">
        <f>HYPERLINK("file:///C:/Users/Scott/CLAUDE CODE/hytek-rfy-codec/docs/rule-pdfs/rule-81.pdf","rule-81.pdf")</f>
        <v/>
      </c>
      <c r="O82" s="7">
        <f>HYPERLINK("file:///Y:/(17) 2026 HYTEK PROJECTS/CORAL HOMES/HG260044 LOT 1810 (14) ELDERBERRY ST UPPER CABOOLTURE/06 MANUFACTURING/02 DRAWINGS MANUFACTURING/01 LGS/HG260044 LOT 1810 (14) ELDERBERRY ST UPPER CABOOLTURE-GF-TIN-70.075.pdf","HG260044 LOT 1810 (14) ELDERBERRY ST UPPER CABOOLT")</f>
        <v/>
      </c>
      <c r="P82" s="2" t="inlineStr"/>
      <c r="Q82" s="7">
        <f>HYPERLINK("file:///Y:/(17) 2026 HYTEK PROJECTS/CORAL HOMES/HG260044 LOT 1810 (14) ELDERBERRY ST UPPER CABOOLTURE/03 DETAILING/03 FRAMECAD DETAILER/HG260044 LOT 1810 (14) ELDERBERRY ST UPPER CABOOLTURE.fcp","HG260044 LOT 1810 (14) ELDERBERRY ST UPPER CABOOLT")</f>
        <v/>
      </c>
      <c r="R82" s="7">
        <f>HYPERLINK("file:///Y:/(17) 2026 HYTEK PROJECTS/CORAL HOMES/HG260044 LOT 1810 (14) ELDERBERRY ST UPPER CABOOLTURE/03 DETAILING/03 FRAMECAD DETAILER/01 XML OUTPUT/HG260044 LOT 1810 (14) ELDERBERRY ST UPPER CABOOLTURE-GF-TIN-70.075.xml","HG260044 LOT 1810 (14) ELDERBERRY ST UPPER CABOOLT")</f>
        <v/>
      </c>
    </row>
    <row r="83" ht="120" customHeight="1">
      <c r="A83" s="2" t="n">
        <v>82</v>
      </c>
      <c r="B83" s="2" t="inlineStr">
        <is>
          <t>M</t>
        </is>
      </c>
      <c r="C83" s="2" t="inlineStr">
        <is>
          <t>Brace/Ribbon (Br, R)</t>
        </is>
      </c>
      <c r="D83" s="2" t="inlineStr">
        <is>
          <t>70mm</t>
        </is>
      </c>
      <c r="E83" s="2" t="inlineStr">
        <is>
          <t>Always</t>
        </is>
      </c>
      <c r="F83" s="2" t="inlineStr">
        <is>
          <t>End InnerDimple at length-11</t>
        </is>
      </c>
      <c r="G83" s="4" t="inlineStr">
        <is>
          <t>No</t>
        </is>
      </c>
      <c r="H83" s="5" t="inlineStr">
        <is>
          <t>HG260044
GF-TIN-70.075
frame PC2-1
stick R3</t>
        </is>
      </c>
      <c r="I83" s="2" t="inlineStr">
        <is>
          <t>Same as rule 80.</t>
        </is>
      </c>
      <c r="J83" s="2" t="inlineStr">
        <is>
          <t>194 sticks / 56 pairs</t>
        </is>
      </c>
      <c r="K83" s="2" t="inlineStr">
        <is>
          <t>small</t>
        </is>
      </c>
      <c r="L83" s="2" t="inlineStr">
        <is>
          <t>Same as rule 80 — mirror at end.</t>
        </is>
      </c>
      <c r="M83" s="6" t="inlineStr">
        <is>
          <t xml:space="preserve">THE RULE SHOULD FIRE WHEN: 
THE VALUES ARE: 
IT SHOULD NOT FIRE WHEN: 
WHY (physical reason): </t>
        </is>
      </c>
      <c r="N83" s="7">
        <f>HYPERLINK("file:///C:/Users/Scott/CLAUDE CODE/hytek-rfy-codec/docs/rule-pdfs/rule-82.pdf","rule-82.pdf")</f>
        <v/>
      </c>
      <c r="O83" s="7">
        <f>HYPERLINK("file:///Y:/(17) 2026 HYTEK PROJECTS/CORAL HOMES/HG260044 LOT 1810 (14) ELDERBERRY ST UPPER CABOOLTURE/06 MANUFACTURING/02 DRAWINGS MANUFACTURING/01 LGS/HG260044 LOT 1810 (14) ELDERBERRY ST UPPER CABOOLTURE-GF-TIN-70.075.pdf","HG260044 LOT 1810 (14) ELDERBERRY ST UPPER CABOOLT")</f>
        <v/>
      </c>
      <c r="P83" s="2" t="inlineStr"/>
      <c r="Q83" s="7">
        <f>HYPERLINK("file:///Y:/(17) 2026 HYTEK PROJECTS/CORAL HOMES/HG260044 LOT 1810 (14) ELDERBERRY ST UPPER CABOOLTURE/03 DETAILING/03 FRAMECAD DETAILER/HG260044 LOT 1810 (14) ELDERBERRY ST UPPER CABOOLTURE.fcp","HG260044 LOT 1810 (14) ELDERBERRY ST UPPER CABOOLT")</f>
        <v/>
      </c>
      <c r="R83" s="7">
        <f>HYPERLINK("file:///Y:/(17) 2026 HYTEK PROJECTS/CORAL HOMES/HG260044 LOT 1810 (14) ELDERBERRY ST UPPER CABOOLTURE/03 DETAILING/03 FRAMECAD DETAILER/01 XML OUTPUT/HG260044 LOT 1810 (14) ELDERBERRY ST UPPER CABOOLTURE-GF-TIN-70.075.xml","HG260044 LOT 1810 (14) ELDERBERRY ST UPPER CABOOLT")</f>
        <v/>
      </c>
    </row>
    <row r="84" ht="130" customHeight="1">
      <c r="A84" s="2" t="n">
        <v>83</v>
      </c>
      <c r="B84" s="2" t="inlineStr">
        <is>
          <t>N</t>
        </is>
      </c>
      <c r="C84" s="2" t="inlineStr">
        <is>
          <t>Crossings: plate over stud</t>
        </is>
      </c>
      <c r="D84" s="2" t="inlineStr">
        <is>
          <t>All</t>
        </is>
      </c>
      <c r="E84" s="2" t="inlineStr">
        <is>
          <t>Stud crosses plate</t>
        </is>
      </c>
      <c r="F84" s="2" t="inlineStr">
        <is>
          <t>Plate gets LipNotch + InnerDimple at every stud's x-coord</t>
        </is>
      </c>
      <c r="G84" s="4" t="inlineStr">
        <is>
          <t>No</t>
        </is>
      </c>
      <c r="H84" s="5" t="inlineStr">
        <is>
          <t>HG260002
GF-RP-70.075
frame R1
stick T1</t>
        </is>
      </c>
      <c r="I84" s="2" t="inlineStr">
        <is>
          <t>At a stud-plate crossing, what tool does Detailer emit on the plate (LipNotch / InnerNotch / Web)? What's the discriminator?</t>
        </is>
      </c>
      <c r="J84" s="2" t="inlineStr">
        <is>
          <t>13,169 sticks / 381 pairs</t>
        </is>
      </c>
      <c r="K84" s="2" t="inlineStr">
        <is>
          <t>moderate</t>
        </is>
      </c>
      <c r="L84" s="2" t="inlineStr">
        <is>
          <t>WHAT WE EMIT: Where a stud crosses a top or bottom plate, the plate gets a LipNotch (39mm spanned) + InnerDimple at the stud's x-coordinate. Position is computed from each stick's outline corners (the elevation graphics in the XML).
WHAT DETAILER DOES: Position is mostly RIGHT (within ~5mm). The TOOL TYPE is sometimes wrong on RP plans — Detailer uses InnerNotch where we use LipNotch, or Web where we use neither.
WHAT I NEED FROM YOU: At a stud-plate crossing, what tool does Detailer emit and what determines the type? Always LipNotch on T/B? Or does the stud type (Kb vs S) flip it? Plan-type-specific?</t>
        </is>
      </c>
      <c r="M84" s="6" t="inlineStr">
        <is>
          <t xml:space="preserve">THE RULE SHOULD FIRE WHEN: 
THE VALUES ARE: 
IT SHOULD NOT FIRE WHEN: 
WHY (physical reason): </t>
        </is>
      </c>
      <c r="N84" s="7">
        <f>HYPERLINK("file:///C:/Users/Scott/CLAUDE CODE/hytek-rfy-codec/docs/rule-pdfs/rule-83.pdf","rule-83.pdf")</f>
        <v/>
      </c>
      <c r="O84" s="7">
        <f>HYPERLINK("file:///Y:/(17) 2026 HYTEK PROJECTS/BOWE PROJECTS/HG260002 5 MOSSIP COURT WELLINGTON POINT/06 MANUFACTURING/02 DRAWINGS MANUFACTURING/01 LGS/HG260002 5 MOSSIP COURT WELLINGTON POINT-GF-RP-70.075.pdf","HG260002 5 MOSSIP COURT WELLINGTON POINT-GF-RP-70.")</f>
        <v/>
      </c>
      <c r="P84" s="2" t="inlineStr"/>
      <c r="Q84" s="7">
        <f>HYPERLINK("file:///Y:/(17) 2026 HYTEK PROJECTS/BOWE PROJECTS/HG260002 5 MOSSIP COURT WELLINGTON POINT/03 DETAILING/03 FRAMECAD DETAILER/HG260002 5 MOSSIP COURT WELLINGTON POINT.fcp","HG260002 5 MOSSIP COURT WELLINGTON POINT.fcp")</f>
        <v/>
      </c>
      <c r="R84" s="7">
        <f>HYPERLINK("file:///Y:/(17) 2026 HYTEK PROJECTS/BOWE PROJECTS/HG260002 5 MOSSIP COURT WELLINGTON POINT/03 DETAILING/03 FRAMECAD DETAILER/01 XML OUTPUT/HG260002 5 MOSSIP COURT WELLINGTON POINT-GF-RP-70.075.xml","HG260002 5 MOSSIP COURT WELLINGTON POINT-GF-RP-70.")</f>
        <v/>
      </c>
    </row>
    <row r="85" ht="120" customHeight="1">
      <c r="A85" s="2" t="n">
        <v>84</v>
      </c>
      <c r="B85" s="2" t="inlineStr">
        <is>
          <t>N</t>
        </is>
      </c>
      <c r="C85" s="2" t="inlineStr">
        <is>
          <t>Crossings: stud over nog</t>
        </is>
      </c>
      <c r="D85" s="2" t="inlineStr">
        <is>
          <t>All</t>
        </is>
      </c>
      <c r="E85" s="2" t="inlineStr">
        <is>
          <t>Nog crosses stud</t>
        </is>
      </c>
      <c r="F85" s="2" t="inlineStr">
        <is>
          <t>Stud gets LipNotch + InnerDimple at every nog's y-coord</t>
        </is>
      </c>
      <c r="G85" s="4" t="inlineStr">
        <is>
          <t>No</t>
        </is>
      </c>
      <c r="H85" s="5" t="inlineStr">
        <is>
          <t>HG260001
GF-LBW-70.075
frame PK4-L4
stick S5</t>
        </is>
      </c>
      <c r="I85" s="2" t="inlineStr">
        <is>
          <t>At a nog-stud crossing, what tool does Detailer emit on the stud?</t>
        </is>
      </c>
      <c r="J85" s="2" t="inlineStr">
        <is>
          <t>27,042 sticks / 236 pairs</t>
        </is>
      </c>
      <c r="K85" s="2" t="inlineStr">
        <is>
          <t>small</t>
        </is>
      </c>
      <c r="L85" s="2" t="inlineStr">
        <is>
          <t>Same kind of issue as rule 83 — at a nog-stud crossing, what tool does Detailer put on the stud?</t>
        </is>
      </c>
      <c r="M85" s="6" t="inlineStr">
        <is>
          <t xml:space="preserve">THE RULE SHOULD FIRE WHEN: 
THE VALUES ARE: 
IT SHOULD NOT FIRE WHEN: 
WHY (physical reason): </t>
        </is>
      </c>
      <c r="N85" s="7">
        <f>HYPERLINK("file:///C:/Users/Scott/CLAUDE CODE/hytek-rfy-codec/docs/rule-pdfs/rule-84.pdf","rule-84.pdf")</f>
        <v/>
      </c>
      <c r="O85" s="7">
        <f>HYPERLINK("file:///Y:/(17) 2026 HYTEK PROJECTS/CORAL HOMES/HG260001 LOT 289 (29) COORA CRESENT CURRIMUNDI/06 MANUFACTURING/02 DRAWINGS MANUFACTURING/01 LGS/HG260001 LOT 289 COORA CRESCENT CURRIMUNDI 4551-GF-LBW-70.075.pdf","HG260001 LOT 289 COORA CRESCENT CURRIMUNDI 4551-GF")</f>
        <v/>
      </c>
      <c r="P85" s="7">
        <f>HYPERLINK("file:///Y:/(17) 2026 HYTEK PROJECTS/CORAL HOMES/HG260001 LOT 289 (29) COORA CRESENT CURRIMUNDI/01 PROJECT DOCUMENTATION/02 CURRENT DOCS/01 PDF/CONSTRUCTION DETAILS.pdf","CONSTRUCTION DETAILS.pdf")</f>
        <v/>
      </c>
      <c r="Q85" s="7">
        <f>HYPERLINK("file:///Y:/(17) 2026 HYTEK PROJECTS/CORAL HOMES/HG260001 LOT 289 (29) COORA CRESENT CURRIMUNDI/03 DETAILING/03 FRAMECAD DETAILER/HG260001 LOT 289 (29) COORA CRESENT CURRIMUNDI.fcp","HG260001 LOT 289 (29) COORA CRESENT CURRIMUNDI.fcp")</f>
        <v/>
      </c>
      <c r="R85" s="7">
        <f>HYPERLINK("file:///Y:/(17) 2026 HYTEK PROJECTS/CORAL HOMES/HG260001 LOT 289 (29) COORA CRESENT CURRIMUNDI/03 DETAILING/03 FRAMECAD DETAILER/01 XML OUTPUT/HG260001 LOT 289 COORA CRESCENT CURRIMUNDI 4551-GF-LBW-70.075.xml","HG260001 LOT 289 COORA CRESCENT CURRIMUNDI 4551-GF")</f>
        <v/>
      </c>
    </row>
    <row r="86" ht="120" customHeight="1">
      <c r="A86" s="2" t="n">
        <v>85</v>
      </c>
      <c r="B86" s="2" t="inlineStr">
        <is>
          <t>N</t>
        </is>
      </c>
      <c r="C86" s="2" t="inlineStr">
        <is>
          <t>Crossings: nog over stud</t>
        </is>
      </c>
      <c r="D86" s="2" t="inlineStr">
        <is>
          <t>All</t>
        </is>
      </c>
      <c r="E86" s="2" t="inlineStr">
        <is>
          <t>Stud crosses nog</t>
        </is>
      </c>
      <c r="F86" s="2" t="inlineStr">
        <is>
          <t>Nog gets Web + LipNotch + InnerDimple at every stud's x-coord</t>
        </is>
      </c>
      <c r="G86" s="4" t="inlineStr">
        <is>
          <t>No</t>
        </is>
      </c>
      <c r="H86" s="5" t="inlineStr">
        <is>
          <t>HG260001
GF-LBW-70.075
frame PK4-L4
stick N1</t>
        </is>
      </c>
      <c r="I86" s="2" t="inlineStr">
        <is>
          <t>At a stud-nog crossing, do all three (Web + LipNotch + InnerDimple) always fire?</t>
        </is>
      </c>
      <c r="J86" s="2" t="inlineStr">
        <is>
          <t>6,679 sticks / 219 pairs</t>
        </is>
      </c>
      <c r="K86" s="2" t="inlineStr">
        <is>
          <t>small</t>
        </is>
      </c>
      <c r="L86" s="2" t="inlineStr">
        <is>
          <t>Same kind of issue as rule 83 — at a stud-nog crossing, do all three (Web + LipNotch + InnerDimple) always fire, or do some plans/configurations skip?</t>
        </is>
      </c>
      <c r="M86" s="6" t="inlineStr">
        <is>
          <t xml:space="preserve">THE RULE SHOULD FIRE WHEN: 
THE VALUES ARE: 
IT SHOULD NOT FIRE WHEN: 
WHY (physical reason): </t>
        </is>
      </c>
      <c r="N86" s="7">
        <f>HYPERLINK("file:///C:/Users/Scott/CLAUDE CODE/hytek-rfy-codec/docs/rule-pdfs/rule-85.pdf","rule-85.pdf")</f>
        <v/>
      </c>
      <c r="O86" s="7">
        <f>HYPERLINK("file:///Y:/(17) 2026 HYTEK PROJECTS/CORAL HOMES/HG260001 LOT 289 (29) COORA CRESENT CURRIMUNDI/06 MANUFACTURING/02 DRAWINGS MANUFACTURING/01 LGS/HG260001 LOT 289 COORA CRESCENT CURRIMUNDI 4551-GF-LBW-70.075.pdf","HG260001 LOT 289 COORA CRESCENT CURRIMUNDI 4551-GF")</f>
        <v/>
      </c>
      <c r="P86" s="7">
        <f>HYPERLINK("file:///Y:/(17) 2026 HYTEK PROJECTS/CORAL HOMES/HG260001 LOT 289 (29) COORA CRESENT CURRIMUNDI/01 PROJECT DOCUMENTATION/02 CURRENT DOCS/01 PDF/CONSTRUCTION DETAILS.pdf","CONSTRUCTION DETAILS.pdf")</f>
        <v/>
      </c>
      <c r="Q86" s="7">
        <f>HYPERLINK("file:///Y:/(17) 2026 HYTEK PROJECTS/CORAL HOMES/HG260001 LOT 289 (29) COORA CRESENT CURRIMUNDI/03 DETAILING/03 FRAMECAD DETAILER/HG260001 LOT 289 (29) COORA CRESENT CURRIMUNDI.fcp","HG260001 LOT 289 (29) COORA CRESENT CURRIMUNDI.fcp")</f>
        <v/>
      </c>
      <c r="R86" s="7">
        <f>HYPERLINK("file:///Y:/(17) 2026 HYTEK PROJECTS/CORAL HOMES/HG260001 LOT 289 (29) COORA CRESENT CURRIMUNDI/03 DETAILING/03 FRAMECAD DETAILER/01 XML OUTPUT/HG260001 LOT 289 COORA CRESCENT CURRIMUNDI 4551-GF-LBW-70.075.xml","HG260001 LOT 289 COORA CRESCENT CURRIMUNDI 4551-GF")</f>
        <v/>
      </c>
    </row>
    <row r="87" ht="169" customHeight="1">
      <c r="A87" s="2" t="n">
        <v>86</v>
      </c>
      <c r="B87" s="2" t="inlineStr">
        <is>
          <t>N</t>
        </is>
      </c>
      <c r="C87" s="2" t="inlineStr">
        <is>
          <t>Crossings: truss panel-points</t>
        </is>
      </c>
      <c r="D87" s="2" t="inlineStr">
        <is>
          <t>All</t>
        </is>
      </c>
      <c r="E87" s="2" t="inlineStr">
        <is>
          <t>Web stick projects onto chord</t>
        </is>
      </c>
      <c r="F87" s="2" t="inlineStr">
        <is>
          <t>NOT EMITTED — paired InnerDimples + 47mm-wide LipNotch</t>
        </is>
      </c>
      <c r="G87" s="4" t="inlineStr">
        <is>
          <t>No</t>
        </is>
      </c>
      <c r="H87" s="5" t="inlineStr">
        <is>
          <t>HG250011
GF-TIN-70.075
frame PC1-1
stick T2</t>
        </is>
      </c>
      <c r="I87" s="2" t="inlineStr">
        <is>
          <t>Are 51mm spacing and 47mm LipNotch width HYTEK constants? Offset from Web projection always 41mm before?</t>
        </is>
      </c>
      <c r="J87" s="2" t="inlineStr">
        <is>
          <t>2,091 sticks / 141 pairs</t>
        </is>
      </c>
      <c r="K87" s="2" t="inlineStr">
        <is>
          <t>+13pp on TIN (BIGGEST single gap)</t>
        </is>
      </c>
      <c r="L87" s="2" t="inlineStr">
        <is>
          <t>WHAT WE EMIT: NOTHING. We currently emit no ops at truss panel-points.
WHAT DETAILER DOES: At every panel point (where a Web stick projects onto the chord centerline), Detailer emits paired InnerDimples spaced ~51mm apart, plus a 47mm-wide LipNotch perpendicular to the chord.
SCALE OF THE GAP: ~7,500 missing ops across the 90 TIN pairs. Worth approximately +13pp on TIN-only parity.
WHAT I NEED FROM YOU: Is the 51mm spacing a HYTEK constant or panel-spacing dependent? Is the LipNotch always 47mm wide? Offset from Web projection always 41mm before? Does Detailer also emit something on the Web stick at this junction? Does this apply to TB2B and FJ as well as TIN?</t>
        </is>
      </c>
      <c r="M87" s="6" t="inlineStr">
        <is>
          <t xml:space="preserve">THE RULE SHOULD FIRE WHEN: 
THE VALUES ARE: 
IT SHOULD NOT FIRE WHEN: 
WHY (physical reason): </t>
        </is>
      </c>
      <c r="N87" s="7">
        <f>HYPERLINK("file:///C:/Users/Scott/CLAUDE CODE/hytek-rfy-codec/docs/rule-pdfs/rule-86.pdf","rule-86.pdf")</f>
        <v/>
      </c>
      <c r="O87" s="7">
        <f>HYPERLINK("file:///Y:/(14) 2025 HYTEK PROJECTS/CORAL HOMES/HG250011 LOT 57 (5) NEVIS COURT D'AGUILAR/06 MANUFACTURING/02 DRAWINGS MANUFACTURING/01 LGS/SS 20250801/HG250011 LOT 57 (5) NEVIS COURT D AGUILAR Rev 1-GF-TIN-70.075.pdf","HG250011 LOT 57 (5) NEVIS COURT D AGUILAR Rev 1-GF")</f>
        <v/>
      </c>
      <c r="P87" s="7">
        <f>HYPERLINK("file:///Y:/(14) 2025 HYTEK PROJECTS/CORAL HOMES/HG250011 LOT 57 (5) NEVIS COURT D'AGUILAR/01 PROJECT DOCUMENTATION/02 CURRENT DOCS/01 PDF/CONSTRUCTION DETAILS.pdf","CONSTRUCTION DETAILS.pdf")</f>
        <v/>
      </c>
      <c r="Q87" s="7">
        <f>HYPERLINK("file:///Y:/(14) 2025 HYTEK PROJECTS/CORAL HOMES/HG250011 LOT 57 (5) NEVIS COURT D'AGUILAR/03 DETAILING/03 FRAMECAD DETAILER/HG250011 LOT 57 (5) NEVIS COURT D AGUILAR Rev 1.fcp","HG250011 LOT 57 (5) NEVIS COURT D AGUILAR Rev 1.fc")</f>
        <v/>
      </c>
      <c r="R87" s="7">
        <f>HYPERLINK("file:///Y:/(14) 2025 HYTEK PROJECTS/CORAL HOMES/HG250011 LOT 57 (5) NEVIS COURT D'AGUILAR/03 DETAILING/03 FRAMECAD DETAILER/01 XML OUTPUT/HG250011 LOT 57 (5) NEVIS COURT D AGUILAR Rev 1-GF-TIN-70.075.xml","HG250011 LOT 57 (5) NEVIS COURT D AGUILAR Rev 1-GF")</f>
        <v/>
      </c>
    </row>
    <row r="88" ht="221" customHeight="1">
      <c r="A88" s="2" t="n">
        <v>87</v>
      </c>
      <c r="B88" s="2" t="inlineStr">
        <is>
          <t>O</t>
        </is>
      </c>
      <c r="C88" s="2" t="inlineStr">
        <is>
          <t>Simplifier: simplify-rp.ts</t>
        </is>
      </c>
      <c r="D88" s="2" t="inlineStr">
        <is>
          <t>All</t>
        </is>
      </c>
      <c r="E88" s="2" t="inlineStr">
        <is>
          <t>-RP- plans</t>
        </is>
      </c>
      <c r="F88" s="2" t="inlineStr">
        <is>
          <t>Rewrites caps to chord-style on T/B/N + plate-over-plate on S</t>
        </is>
      </c>
      <c r="G88" s="4" t="inlineStr">
        <is>
          <t>No</t>
        </is>
      </c>
      <c r="H88" s="5" t="inlineStr">
        <is>
          <t>HG260006
GF-RP-70.075
frame R1
stick T1</t>
        </is>
      </c>
      <c r="I88" s="2" t="inlineStr">
        <is>
          <t>What discriminates an RP frame that gets chord-style caps vs one that gets stud-style caps?</t>
        </is>
      </c>
      <c r="J88" s="2" t="inlineStr">
        <is>
          <t>7,601 sticks / 50 pairs</t>
        </is>
      </c>
      <c r="K88" s="2" t="inlineStr">
        <is>
          <t>moderate (~+8pp on RP)</t>
        </is>
      </c>
      <c r="L88" s="2" t="inlineStr">
        <is>
          <t>WHAT WE EMIT: For RP plans, the simplifier rewrites T/B/N plate caps to chord-style (Chamfer + ID@10) and S studs to plate-over-plate notch (Swage 56..101 + ID@78.5).
WHAT DETAILER DOES: HALF the 50-pair RP corpus uses chord-style caps (matches our simplifier). The OTHER HALF uses STUD-STYLE caps on T/B/N (LipNotch 56..101 + ID@78.5 + ID@170.5...). Same letter, same plan type, different cap regime. Our simplifier helps the first group by 15+pp; HURTS the second by up to 36pp.
EXAMPLES: HG260001 GF-RP-70.075 has chord-style T plates (we help). HG260006 GF-RP-70.075 has stud-style T plates (we hurt — 33%-&gt;69% if disabled).
MY HYPOTHESES: (a) edge of panel vs middle, (b) single-bay vs multi-bay, (c) frame skew angle, (d) some XML attribute we don't read.
WHAT I NEED FROM YOU: What physically separates an RP frame that gets chord-style caps from one that gets stud-style?</t>
        </is>
      </c>
      <c r="M88" s="6" t="inlineStr">
        <is>
          <t xml:space="preserve">THE RULE SHOULD FIRE WHEN: 
THE VALUES ARE: 
IT SHOULD NOT FIRE WHEN: 
WHY (physical reason): </t>
        </is>
      </c>
      <c r="N88" s="7">
        <f>HYPERLINK("file:///C:/Users/Scott/CLAUDE CODE/hytek-rfy-codec/docs/rule-pdfs/rule-87.pdf","rule-87.pdf")</f>
        <v/>
      </c>
      <c r="O88" s="7">
        <f>HYPERLINK("file:///Y:/(17) 2026 HYTEK PROJECTS/BRISBANE HOMES/HG260006 LOT 13 (432) BECKETT ROAD BRIDGEMAN DOWNS/06 MANUFACTURING/06 REWORK/HG260006-001 - ROOF PANELS AND TRUSS/02 LAYOUTS/HG260006 LOT 13 (433) BECKETT ROAD BRIDGEMAN DOWNS-GF-RP-70.075.pdf","HG260006 LOT 13 (433) BECKETT ROAD BRIDGEMAN DOWNS")</f>
        <v/>
      </c>
      <c r="P88" s="2" t="inlineStr"/>
      <c r="Q88" s="7">
        <f>HYPERLINK("file:///Y:/(17) 2026 HYTEK PROJECTS/BRISBANE HOMES/HG260006 LOT 13 (432) BECKETT ROAD BRIDGEMAN DOWNS/03 DETAILING/03 FRAMECAD DETAILER/HG260006 LOT 13 (433) BECKETT ROAD BRIDGEMAN DOWNS REWORK.fcp","HG260006 LOT 13 (433) BECKETT ROAD BRIDGEMAN DOWNS")</f>
        <v/>
      </c>
      <c r="R88" s="7">
        <f>HYPERLINK("file:///Y:/(17) 2026 HYTEK PROJECTS/BRISBANE HOMES/HG260006 LOT 13 (432) BECKETT ROAD BRIDGEMAN DOWNS/03 DETAILING/03 FRAMECAD DETAILER/01 XML OUTPUT/HG260006 LOT 13 (433) BECKETT ROAD BRIDGEMAN DOWNS-GF-RP-70.075.xml","HG260006 LOT 13 (433) BECKETT ROAD BRIDGEMAN DOWNS")</f>
        <v/>
      </c>
    </row>
    <row r="89" ht="22" customHeight="1">
      <c r="A89" s="2" t="n">
        <v>88</v>
      </c>
      <c r="B89" s="2" t="inlineStr">
        <is>
          <t>O</t>
        </is>
      </c>
      <c r="C89" s="2" t="inlineStr">
        <is>
          <t>Simplifier: simplify-tin-truss.ts</t>
        </is>
      </c>
      <c r="D89" s="2" t="inlineStr">
        <is>
          <t>All</t>
        </is>
      </c>
      <c r="E89" s="2" t="inlineStr">
        <is>
          <t>-TIN- plans</t>
        </is>
      </c>
      <c r="F89" s="2" t="inlineStr">
        <is>
          <t>H-stick LipNotch-&gt;Swage substitution</t>
        </is>
      </c>
      <c r="G89" s="3" t="inlineStr">
        <is>
          <t>Yes</t>
        </is>
      </c>
      <c r="H89" s="2" t="inlineStr"/>
      <c r="I89" s="2" t="inlineStr"/>
      <c r="J89" s="2" t="inlineStr">
        <is>
          <t>—</t>
        </is>
      </c>
      <c r="K89" s="2" t="inlineStr">
        <is>
          <t>—</t>
        </is>
      </c>
      <c r="L89" s="2" t="inlineStr"/>
      <c r="M89" s="2" t="inlineStr"/>
      <c r="N89" s="2" t="inlineStr"/>
      <c r="O89" s="2" t="inlineStr"/>
      <c r="P89" s="2" t="inlineStr"/>
      <c r="Q89" s="2" t="inlineStr"/>
      <c r="R89" s="2" t="inlineStr"/>
    </row>
    <row r="90" ht="120" customHeight="1">
      <c r="A90" s="2" t="n">
        <v>89</v>
      </c>
      <c r="B90" s="2" t="inlineStr">
        <is>
          <t>O</t>
        </is>
      </c>
      <c r="C90" s="2" t="inlineStr">
        <is>
          <t>Simplifier: simplify-tb2b-truss.ts</t>
        </is>
      </c>
      <c r="D90" s="2" t="inlineStr">
        <is>
          <t>All</t>
        </is>
      </c>
      <c r="E90" s="2" t="inlineStr">
        <is>
          <t>-TB2B- + frame=Truss</t>
        </is>
      </c>
      <c r="F90" s="2" t="inlineStr">
        <is>
          <t>TB2B truss frame cap rewrites</t>
        </is>
      </c>
      <c r="G90" s="4" t="inlineStr">
        <is>
          <t>No</t>
        </is>
      </c>
      <c r="H90" s="5" t="inlineStr">
        <is>
          <t>HG260001
GF-TB2B-70.075
frame TN6-6
stick T4</t>
        </is>
      </c>
      <c r="I90" s="2" t="inlineStr">
        <is>
          <t>What's the TB2B truss tooling pattern at scale? (Need broader corpus check first.)</t>
        </is>
      </c>
      <c r="J90" s="2" t="inlineStr">
        <is>
          <t>3,617 sticks / 52 pairs</t>
        </is>
      </c>
      <c r="K90" s="2" t="inlineStr">
        <is>
          <t>unknown</t>
        </is>
      </c>
      <c r="L90" s="2" t="inlineStr">
        <is>
          <t>WHAT WE EMIT: TB2B truss frame cap rewrites — hand-tuned on a single job.
WHAT WORRIES ME: Untested at scale on the 54-pair TB2B corpus.
WHAT I NEED FROM YOU: Anything you know about TB2B truss tooling that's different from regular truss webs.</t>
        </is>
      </c>
      <c r="M90" s="6" t="inlineStr">
        <is>
          <t xml:space="preserve">THE RULE SHOULD FIRE WHEN: 
THE VALUES ARE: 
IT SHOULD NOT FIRE WHEN: 
WHY (physical reason): </t>
        </is>
      </c>
      <c r="N90" s="7">
        <f>HYPERLINK("file:///C:/Users/Scott/CLAUDE CODE/hytek-rfy-codec/docs/rule-pdfs/rule-89.pdf","rule-89.pdf")</f>
        <v/>
      </c>
      <c r="O90" s="7">
        <f>HYPERLINK("file:///Y:/(17) 2026 HYTEK PROJECTS/CORAL HOMES/HG260001 LOT 289 (29) COORA CRESENT CURRIMUNDI/06 MANUFACTURING/02 DRAWINGS MANUFACTURING/01 LGS/HG260001 LOT 289 COORA CRESCENT CURRIMUNDI 4551-GF-TB2B-70.075.pdf","HG260001 LOT 289 COORA CRESCENT CURRIMUNDI 4551-GF")</f>
        <v/>
      </c>
      <c r="P90" s="7">
        <f>HYPERLINK("file:///Y:/(17) 2026 HYTEK PROJECTS/CORAL HOMES/HG260001 LOT 289 (29) COORA CRESENT CURRIMUNDI/01 PROJECT DOCUMENTATION/02 CURRENT DOCS/01 PDF/CONSTRUCTION DETAILS.pdf","CONSTRUCTION DETAILS.pdf")</f>
        <v/>
      </c>
      <c r="Q90" s="7">
        <f>HYPERLINK("file:///Y:/(17) 2026 HYTEK PROJECTS/CORAL HOMES/HG260001 LOT 289 (29) COORA CRESENT CURRIMUNDI/03 DETAILING/03 FRAMECAD DETAILER/HG260001 LOT 289 (29) COORA CRESENT CURRIMUNDI.fcp","HG260001 LOT 289 (29) COORA CRESENT CURRIMUNDI.fcp")</f>
        <v/>
      </c>
      <c r="R90" s="7">
        <f>HYPERLINK("file:///Y:/(17) 2026 HYTEK PROJECTS/CORAL HOMES/HG260001 LOT 289 (29) COORA CRESENT CURRIMUNDI/03 DETAILING/03 FRAMECAD DETAILER/01 XML OUTPUT/HG260001 LOT 289 COORA CRESCENT CURRIMUNDI 4551-GF-TB2B-70.075.xml","HG260001 LOT 289 COORA CRESCENT CURRIMUNDI 4551-GF")</f>
        <v/>
      </c>
    </row>
    <row r="91" ht="120" customHeight="1">
      <c r="A91" s="2" t="n">
        <v>90</v>
      </c>
      <c r="B91" s="2" t="inlineStr">
        <is>
          <t>O</t>
        </is>
      </c>
      <c r="C91" s="2" t="inlineStr">
        <is>
          <t>Simplifier: simplify-linear-truss.ts</t>
        </is>
      </c>
      <c r="D91" s="2" t="inlineStr">
        <is>
          <t>All</t>
        </is>
      </c>
      <c r="E91" s="2" t="inlineStr">
        <is>
          <t>-LIN- plans</t>
        </is>
      </c>
      <c r="F91" s="2" t="inlineStr">
        <is>
          <t>Bolt-hole pattern at every web-chord crossing</t>
        </is>
      </c>
      <c r="G91" s="4" t="inlineStr">
        <is>
          <t>No</t>
        </is>
      </c>
      <c r="H91" s="5" t="inlineStr">
        <is>
          <t>HG260043
GF-RP-89.115
frame R1
stick T1</t>
        </is>
      </c>
      <c r="I91" s="2" t="inlineStr">
        <is>
          <t>What are LIN plans for? Bolt-hole spacing rule?</t>
        </is>
      </c>
      <c r="J91" s="2" t="inlineStr">
        <is>
          <t>0 sticks / 0 pairs</t>
        </is>
      </c>
      <c r="K91" s="2" t="inlineStr">
        <is>
          <t>unknown</t>
        </is>
      </c>
      <c r="L91" s="2" t="inlineStr">
        <is>
          <t>WHAT WE EMIT: For -LIN- plan-type linear-truss frames, the simplifier emits a bolt-hole pattern at every web-chord centerline crossing.
WHAT WORRIES ME: No corpus check beyond the original 1-job tuning. Few -LIN- pairs in the corpus.
WHAT I NEED FROM YOU: What are -LIN- plans for, physically? Bolt-hole spacing rule?</t>
        </is>
      </c>
      <c r="M91" s="6" t="inlineStr">
        <is>
          <t xml:space="preserve">THE RULE SHOULD FIRE WHEN: 
THE VALUES ARE: 
IT SHOULD NOT FIRE WHEN: 
WHY (physical reason): </t>
        </is>
      </c>
      <c r="N91" s="7">
        <f>HYPERLINK("file:///C:/Users/Scott/CLAUDE CODE/hytek-rfy-codec/docs/rule-pdfs/rule-90.pdf","rule-90.pdf")</f>
        <v/>
      </c>
      <c r="O91" s="7">
        <f>HYPERLINK("file:///Y:/(17) 2026 HYTEK PROJECTS/POWERHOUSE SWITCHROOMS/HG260043 ELLIOT PUMP STATION/06 MANUFACTURING/02 DRAWINGS MANUFACTURING/01 LGS/HG260043 ELLIOT PUMP STATION [C]-GF-RP-89.115.pdf","HG260043 ELLIOT PUMP STATION [C]-GF-RP-89.115.pdf")</f>
        <v/>
      </c>
      <c r="P91" s="2" t="inlineStr"/>
      <c r="Q91" s="7">
        <f>HYPERLINK("file:///Y:/(17) 2026 HYTEK PROJECTS/POWERHOUSE SWITCHROOMS/HG260043 ELLIOT PUMP STATION/03 DETAILING/03 FRAMECAD DETAILER/HG260043 ELLIOT PUMP STATION [C].fcp","HG260043 ELLIOT PUMP STATION [C].fcp")</f>
        <v/>
      </c>
      <c r="R91" s="7">
        <f>HYPERLINK("file:///Y:/(17) 2026 HYTEK PROJECTS/POWERHOUSE SWITCHROOMS/HG260043 ELLIOT PUMP STATION/03 DETAILING/03 FRAMECAD DETAILER/01 XML OUTPUT/HG260043 ELLIOT PUMP STATION [C]-GF-RP-89.115.xml","HG260043 ELLIOT PUMP STATION [C]-GF-RP-89.115.xml")</f>
        <v/>
      </c>
    </row>
    <row r="92" ht="120" customHeight="1">
      <c r="A92" s="2" t="n">
        <v>91</v>
      </c>
      <c r="B92" s="2" t="inlineStr">
        <is>
          <t>O</t>
        </is>
      </c>
      <c r="C92" s="2" t="inlineStr">
        <is>
          <t>Simplifier: simplify-wall-service.ts</t>
        </is>
      </c>
      <c r="D92" s="2" t="inlineStr">
        <is>
          <t>All</t>
        </is>
      </c>
      <c r="E92" s="2" t="inlineStr">
        <is>
          <t>-LBW-/-NLBW- plans</t>
        </is>
      </c>
      <c r="F92" s="2" t="inlineStr">
        <is>
          <t>InnerService holes on wall studs</t>
        </is>
      </c>
      <c r="G92" s="4" t="inlineStr">
        <is>
          <t>No</t>
        </is>
      </c>
      <c r="H92" s="5" t="inlineStr">
        <is>
          <t>HG260010
GF-LBW-70.075
frame L39
stick S7</t>
        </is>
      </c>
      <c r="I92" s="2" t="inlineStr">
        <is>
          <t>Same as rule 5/6 — what tells Detailer WHICH studs need service holes?</t>
        </is>
      </c>
      <c r="J92" s="2" t="inlineStr">
        <is>
          <t>22,413 sticks / 170 pairs</t>
        </is>
      </c>
      <c r="K92" s="2" t="inlineStr">
        <is>
          <t>moderate</t>
        </is>
      </c>
      <c r="L92" s="2" t="inlineStr">
        <is>
          <t>WHAT WE EMIT: For LBW/NLBW wall plans, the simplifier emits InnerService holes on every wall stud above a certain length.
WHAT DETAILER DOES: BIMODAL. On small jobs (HG260010, 170 sticks): Detailer emits 8 service ops total; we emit 323 (~40x over-emit). On big jobs (HG260045): Detailer 73, we emit 55 (under-emit).
WHAT I NEED FROM YOU: Same as rule 5/6 — what tells Detailer WHICH studs need service holes?</t>
        </is>
      </c>
      <c r="M92" s="6" t="inlineStr">
        <is>
          <t xml:space="preserve">THE RULE SHOULD FIRE WHEN: 
THE VALUES ARE: 
IT SHOULD NOT FIRE WHEN: 
WHY (physical reason): </t>
        </is>
      </c>
      <c r="N92" s="7">
        <f>HYPERLINK("file:///C:/Users/Scott/CLAUDE CODE/hytek-rfy-codec/docs/rule-pdfs/rule-91.pdf","rule-91.pdf")</f>
        <v/>
      </c>
      <c r="O92" s="7">
        <f>HYPERLINK("file:///Y:/(17) 2026 HYTEK PROJECTS/CORAL HOMES/HG260010 LOT 11 (2) SUNVIEW PLACE SAMFORD VALLEY/06 MANUFACTURING/02 DRAWINGS MANUFACTURING/01 LGS/HG260010 LOT 11 SUNVIEW PLACE SAMFORD VALLEY-GF-LBW-70.075.pdf","HG260010 LOT 11 SUNVIEW PLACE SAMFORD VALLEY-GF-LB")</f>
        <v/>
      </c>
      <c r="P92" s="7">
        <f>HYPERLINK("file:///Y:/(17) 2026 HYTEK PROJECTS/CORAL HOMES/HG260010 LOT 11 (2) SUNVIEW PLACE SAMFORD VALLEY/01 PROJECT DOCUMENTATION/02 CURRENT DOCS/01 PDF/AC LAYOUT.pdf","AC LAYOUT.pdf")</f>
        <v/>
      </c>
      <c r="Q92" s="7">
        <f>HYPERLINK("file:///Y:/(17) 2026 HYTEK PROJECTS/CORAL HOMES/HG260010 LOT 11 (2) SUNVIEW PLACE SAMFORD VALLEY/03 DETAILING/03 FRAMECAD DETAILER/HG260010 LOT 11 (2) SUNVIEW PLACE SAMFORD VALLEY.fcp","HG260010 LOT 11 (2) SUNVIEW PLACE SAMFORD VALLEY.f")</f>
        <v/>
      </c>
      <c r="R92" s="7">
        <f>HYPERLINK("file:///Y:/(17) 2026 HYTEK PROJECTS/CORAL HOMES/HG260010 LOT 11 (2) SUNVIEW PLACE SAMFORD VALLEY/03 DETAILING/03 FRAMECAD DETAILER/01 XML OUTPUT/HG260010 LOT 11 SUNVIEW PLACE SAMFORD VALLEY-GF-LBW-70.075.xml","HG260010 LOT 11 SUNVIEW PLACE SAMFORD VALLEY-GF-LB")</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5" customWidth="1" min="1" max="1"/>
    <col width="110" customWidth="1" min="2" max="2"/>
  </cols>
  <sheetData>
    <row r="1">
      <c r="A1" s="8" t="inlineStr">
        <is>
          <t>Codec rule review — V2</t>
        </is>
      </c>
    </row>
    <row r="3">
      <c r="A3" t="inlineStr">
        <is>
          <t>Total rules</t>
        </is>
      </c>
      <c r="B3">
        <f>COUNTA('Codec rules'!A2:A92)</f>
        <v/>
      </c>
    </row>
    <row r="4">
      <c r="A4" t="inlineStr">
        <is>
          <t>100% sure (no input needed)</t>
        </is>
      </c>
      <c r="B4" s="9">
        <f>COUNTIF('Codec rules'!G2:G92,"Yes")</f>
        <v/>
      </c>
    </row>
    <row r="5">
      <c r="A5" t="inlineStr">
        <is>
          <t>Not 100% (need Scott's input)</t>
        </is>
      </c>
      <c r="B5" s="10">
        <f>COUNTIF('Codec rules'!G2:G92,"No")</f>
        <v/>
      </c>
    </row>
    <row r="7">
      <c r="A7" s="11" t="inlineStr">
        <is>
          <t>Columns explained</t>
        </is>
      </c>
    </row>
    <row r="8">
      <c r="A8" s="12" t="inlineStr">
        <is>
          <t>Look up in Detailer</t>
        </is>
      </c>
      <c r="B8" t="inlineStr">
        <is>
          <t>Job + plan + frame label + stick name. Use this to navigate to the same stick in Detailer or in the Manufacturing PDF.</t>
        </is>
      </c>
    </row>
    <row r="9">
      <c r="A9" s="12" t="inlineStr">
        <is>
          <t>Specific question</t>
        </is>
      </c>
      <c r="B9" t="inlineStr">
        <is>
          <t>The bottom-line question I need answered, lifted out of the long-form text.</t>
        </is>
      </c>
    </row>
    <row r="10">
      <c r="A10" s="12" t="inlineStr">
        <is>
          <t>Affected (sticks / pairs)</t>
        </is>
      </c>
      <c r="B10" t="inlineStr">
        <is>
          <t>How many sticks across the 388-pair corpus this rule's gate would fire on. High count = high stakes.</t>
        </is>
      </c>
    </row>
    <row r="11">
      <c r="A11" s="12" t="inlineStr">
        <is>
          <t>Unlocks if fixed</t>
        </is>
      </c>
      <c r="B11" t="inlineStr">
        <is>
          <t>Approximate parity gain if the rule lands correctly. 'small' / 'moderate' / specific pp where known.</t>
        </is>
      </c>
    </row>
    <row r="12">
      <c r="A12" s="12" t="inlineStr">
        <is>
          <t>My uncertainty (long-form)</t>
        </is>
      </c>
      <c r="B12" t="inlineStr">
        <is>
          <t>Full context: what we emit, what Detailer does, my hypothesis, what I need.</t>
        </is>
      </c>
    </row>
    <row r="13">
      <c r="A13" s="12" t="inlineStr">
        <is>
          <t>Scott's correction</t>
        </is>
      </c>
      <c r="B13" t="inlineStr">
        <is>
          <t>Yellow cell with template scaffold — fill the blanks, that's enough for me to update the codec.</t>
        </is>
      </c>
    </row>
    <row r="14">
      <c r="A14" s="12" t="inlineStr">
        <is>
          <t>Diff PDF</t>
        </is>
      </c>
      <c r="B14" t="inlineStr">
        <is>
          <t>Codec emit (top, red = wrong-emit) vs Detailer reference (bottom, red = miss) for the example stick.</t>
        </is>
      </c>
    </row>
    <row r="15">
      <c r="A15" s="12" t="inlineStr">
        <is>
          <t>Manufacturing PDF</t>
        </is>
      </c>
      <c r="B15" t="inlineStr">
        <is>
          <t>FrameCAD-generated frame-elevation PDF for the example plan. Multi-page; scroll to the cited frame.</t>
        </is>
      </c>
    </row>
    <row r="16">
      <c r="A16" s="12" t="inlineStr">
        <is>
          <t>Architectural PDF</t>
        </is>
      </c>
      <c r="B16" t="inlineStr">
        <is>
          <t>Project plans (LBW MARKUP, SLAB DESIGN, CONSTRUCTION DETAILS, AC LAYOUT) — building context.</t>
        </is>
      </c>
    </row>
    <row r="17">
      <c r="A17" s="12" t="inlineStr">
        <is>
          <t>.fcp file</t>
        </is>
      </c>
      <c r="B17" t="inlineStr">
        <is>
          <t>Click to open the Detailer project. Navigate to the cited frame for live tooling.</t>
        </is>
      </c>
    </row>
    <row r="18">
      <c r="A18" s="12" t="inlineStr">
        <is>
          <t>Source XML</t>
        </is>
      </c>
      <c r="B18" t="inlineStr">
        <is>
          <t>Raw XML the codec receives. Inspect to see what input data we have.</t>
        </is>
      </c>
    </row>
    <row r="20">
      <c r="A20" s="11" t="inlineStr">
        <is>
          <t>How to fill the correction</t>
        </is>
      </c>
    </row>
    <row r="21">
      <c r="A21" t="inlineStr">
        <is>
          <t>1. Sort or filter '100% sure?' to see only 'No' rows.</t>
        </is>
      </c>
    </row>
    <row r="22">
      <c r="A22" t="inlineStr">
        <is>
          <t>2. Click the Diff PDF link to see the issue, the Manufacturing PDF to see the frame in context, the Architectural PDF for building plans.</t>
        </is>
      </c>
    </row>
    <row r="23">
      <c r="A23" t="inlineStr">
        <is>
          <t>3. Read the Specific question (column H) — most are answerable in 1-2 lines.</t>
        </is>
      </c>
    </row>
    <row r="24">
      <c r="A24" t="inlineStr">
        <is>
          <t>4. Fill the yellow correction cell using the template scaffold.</t>
        </is>
      </c>
    </row>
    <row r="25">
      <c r="A25" t="inlineStr">
        <is>
          <t>5. When done, hand back to Claude — the codec will be updated to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2026-05-07T06:51:26Z</dcterms:created>
  <dcterms:modified xmlns:dcterms="http://purl.org/dc/terms/" xmlns:xsi="http://www.w3.org/2001/XMLSchema-instance" xsi:type="dcterms:W3CDTF">2026-05-07T06:51:26Z</dcterms:modified>
</cp:coreProperties>
</file>